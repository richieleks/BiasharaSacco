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ga31865\Downloads\"/>
    </mc:Choice>
  </mc:AlternateContent>
  <xr:revisionPtr revIDLastSave="0" documentId="8_{678A0F7E-B21D-47C6-9D00-194A9B744008}" xr6:coauthVersionLast="47" xr6:coauthVersionMax="47" xr10:uidLastSave="{00000000-0000-0000-0000-000000000000}"/>
  <bookViews>
    <workbookView xWindow="-110" yWindow="-110" windowWidth="19420" windowHeight="10300" xr2:uid="{EA739438-B857-4009-BEAB-27214F4F6479}"/>
  </bookViews>
  <sheets>
    <sheet name="LEKU DENN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" i="1" l="1"/>
  <c r="C121" i="1"/>
  <c r="C120" i="1"/>
  <c r="C119" i="1"/>
  <c r="C118" i="1"/>
  <c r="C116" i="1"/>
  <c r="C115" i="1"/>
  <c r="C113" i="1"/>
  <c r="C112" i="1"/>
  <c r="C111" i="1"/>
  <c r="C110" i="1"/>
  <c r="C108" i="1"/>
  <c r="C107" i="1"/>
  <c r="C106" i="1"/>
  <c r="C105" i="1"/>
  <c r="C104" i="1"/>
  <c r="C103" i="1"/>
  <c r="C101" i="1"/>
  <c r="C100" i="1"/>
  <c r="C99" i="1"/>
  <c r="C98" i="1"/>
  <c r="C97" i="1"/>
  <c r="C95" i="1"/>
  <c r="C94" i="1"/>
  <c r="C92" i="1"/>
  <c r="C91" i="1"/>
  <c r="C90" i="1"/>
  <c r="C89" i="1"/>
  <c r="C87" i="1"/>
  <c r="C86" i="1"/>
  <c r="C85" i="1"/>
  <c r="C83" i="1"/>
  <c r="C82" i="1"/>
  <c r="C80" i="1"/>
  <c r="C79" i="1"/>
  <c r="C78" i="1"/>
  <c r="C77" i="1"/>
  <c r="C76" i="1"/>
  <c r="C74" i="1"/>
  <c r="C72" i="1"/>
  <c r="C71" i="1"/>
  <c r="C70" i="1"/>
  <c r="C69" i="1"/>
  <c r="C68" i="1"/>
  <c r="C65" i="1"/>
  <c r="C64" i="1"/>
  <c r="C63" i="1"/>
  <c r="C62" i="1"/>
  <c r="C61" i="1"/>
  <c r="C59" i="1"/>
  <c r="C58" i="1"/>
  <c r="C57" i="1"/>
  <c r="C56" i="1"/>
  <c r="C55" i="1"/>
  <c r="C53" i="1"/>
  <c r="C51" i="1"/>
  <c r="C50" i="1"/>
  <c r="C49" i="1"/>
  <c r="C48" i="1"/>
  <c r="C46" i="1"/>
  <c r="C45" i="1"/>
  <c r="C43" i="1"/>
  <c r="C42" i="1"/>
  <c r="C41" i="1"/>
  <c r="C39" i="1"/>
  <c r="C38" i="1"/>
  <c r="C36" i="1"/>
  <c r="C35" i="1"/>
  <c r="C33" i="1"/>
  <c r="C32" i="1"/>
  <c r="C31" i="1"/>
  <c r="C29" i="1"/>
  <c r="C28" i="1"/>
  <c r="C27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C12" i="1"/>
  <c r="E8" i="1"/>
  <c r="E7" i="1"/>
  <c r="F6" i="1"/>
  <c r="E6" i="1"/>
  <c r="F5" i="1"/>
  <c r="E5" i="1"/>
  <c r="C5" i="1"/>
  <c r="F4" i="1"/>
  <c r="E4" i="1"/>
  <c r="C4" i="1"/>
  <c r="C6" i="1" s="1"/>
</calcChain>
</file>

<file path=xl/sharedStrings.xml><?xml version="1.0" encoding="utf-8"?>
<sst xmlns="http://schemas.openxmlformats.org/spreadsheetml/2006/main" count="132" uniqueCount="42">
  <si>
    <t>LOAN AMOUNT DISBURSED</t>
  </si>
  <si>
    <t>INT.</t>
  </si>
  <si>
    <t>TIME(MONTHS)</t>
  </si>
  <si>
    <t>MONTHLY PRINCIPLE</t>
  </si>
  <si>
    <t>MONTHLY INTEREST</t>
  </si>
  <si>
    <t>MONTHLY REPAYMENT</t>
  </si>
  <si>
    <t xml:space="preserve">ACCOUNT NAME: </t>
  </si>
  <si>
    <t>LEKU DENNIS</t>
  </si>
  <si>
    <t>CLOSING BALANCE</t>
  </si>
  <si>
    <t>ACCOUNT NUMBER:</t>
  </si>
  <si>
    <t>INTEREST EARNED</t>
  </si>
  <si>
    <t>TENURE</t>
  </si>
  <si>
    <t>POSTING DATE</t>
  </si>
  <si>
    <t>DETAILS</t>
  </si>
  <si>
    <t>AMT DEBITED</t>
  </si>
  <si>
    <t>PRINCIPLE REPYT</t>
  </si>
  <si>
    <t>INTEREST</t>
  </si>
  <si>
    <t>BALANCE</t>
  </si>
  <si>
    <t>April installment</t>
  </si>
  <si>
    <t>May installment</t>
  </si>
  <si>
    <t>June installament</t>
  </si>
  <si>
    <t>July Installement</t>
  </si>
  <si>
    <t>August Installement</t>
  </si>
  <si>
    <t>Loan top up</t>
  </si>
  <si>
    <t>September installement</t>
  </si>
  <si>
    <t>October installment</t>
  </si>
  <si>
    <t>November installment</t>
  </si>
  <si>
    <t>December installment</t>
  </si>
  <si>
    <t>January installment</t>
  </si>
  <si>
    <t>Feb installment</t>
  </si>
  <si>
    <t>March installment</t>
  </si>
  <si>
    <t>Loan topup</t>
  </si>
  <si>
    <t>special</t>
  </si>
  <si>
    <t>Special loan</t>
  </si>
  <si>
    <t>Ordinary</t>
  </si>
  <si>
    <t>1st installment - special</t>
  </si>
  <si>
    <t>LOAN TOPUP</t>
  </si>
  <si>
    <t>2nd installment - special</t>
  </si>
  <si>
    <t>3rd installment - special</t>
  </si>
  <si>
    <t>Loan installment</t>
  </si>
  <si>
    <t>3rd installment - special(Transfer)</t>
  </si>
  <si>
    <t>Loan Topup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</si>
</sst>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6" tint="-0.249977111117893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/>
    <xf numFmtId="164" fontId="2" fillId="2" borderId="1" xfId="1" applyFont="1" applyFill="1" applyBorder="1"/>
    <xf numFmtId="164" fontId="0" fillId="0" borderId="0" xfId="1" applyFont="1"/>
    <xf numFmtId="0" fontId="2" fillId="2" borderId="2" xfId="0" applyFont="1" applyFill="1" applyBorder="1"/>
    <xf numFmtId="164" fontId="2" fillId="2" borderId="2" xfId="1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0" fillId="3" borderId="1" xfId="1" applyNumberFormat="1" applyFont="1" applyFill="1" applyBorder="1"/>
    <xf numFmtId="164" fontId="2" fillId="3" borderId="4" xfId="1" applyFont="1" applyFill="1" applyBorder="1"/>
    <xf numFmtId="164" fontId="2" fillId="3" borderId="5" xfId="1" applyFont="1" applyFill="1" applyBorder="1"/>
    <xf numFmtId="1" fontId="3" fillId="4" borderId="1" xfId="0" applyNumberFormat="1" applyFont="1" applyFill="1" applyBorder="1"/>
    <xf numFmtId="164" fontId="0" fillId="3" borderId="1" xfId="1" applyFont="1" applyFill="1" applyBorder="1"/>
    <xf numFmtId="0" fontId="4" fillId="3" borderId="1" xfId="0" applyFont="1" applyFill="1" applyBorder="1" applyAlignment="1">
      <alignment horizontal="right"/>
    </xf>
    <xf numFmtId="164" fontId="0" fillId="3" borderId="4" xfId="1" applyFont="1" applyFill="1" applyBorder="1"/>
    <xf numFmtId="164" fontId="0" fillId="3" borderId="5" xfId="1" applyFont="1" applyFill="1" applyBorder="1"/>
    <xf numFmtId="0" fontId="2" fillId="3" borderId="6" xfId="0" applyFont="1" applyFill="1" applyBorder="1"/>
    <xf numFmtId="0" fontId="2" fillId="3" borderId="2" xfId="0" applyFont="1" applyFill="1" applyBorder="1"/>
    <xf numFmtId="164" fontId="2" fillId="3" borderId="7" xfId="1" applyFont="1" applyFill="1" applyBorder="1"/>
    <xf numFmtId="164" fontId="2" fillId="3" borderId="8" xfId="1" applyFont="1" applyFill="1" applyBorder="1"/>
    <xf numFmtId="15" fontId="0" fillId="0" borderId="1" xfId="0" applyNumberFormat="1" applyBorder="1"/>
    <xf numFmtId="0" fontId="5" fillId="5" borderId="2" xfId="0" applyFont="1" applyFill="1" applyBorder="1" applyAlignment="1">
      <alignment horizontal="left" indent="1"/>
    </xf>
    <xf numFmtId="164" fontId="1" fillId="0" borderId="2" xfId="1" applyFont="1" applyBorder="1"/>
    <xf numFmtId="164" fontId="1" fillId="0" borderId="9" xfId="1" applyFont="1" applyFill="1" applyBorder="1" applyAlignment="1">
      <alignment horizontal="center"/>
    </xf>
    <xf numFmtId="164" fontId="1" fillId="0" borderId="10" xfId="1" applyFont="1" applyFill="1" applyBorder="1" applyAlignment="1">
      <alignment horizontal="center"/>
    </xf>
    <xf numFmtId="43" fontId="1" fillId="0" borderId="0" xfId="2" applyFont="1" applyFill="1" applyBorder="1"/>
    <xf numFmtId="0" fontId="0" fillId="0" borderId="1" xfId="0" applyBorder="1"/>
    <xf numFmtId="164" fontId="0" fillId="0" borderId="1" xfId="1" applyFont="1" applyBorder="1"/>
    <xf numFmtId="43" fontId="0" fillId="0" borderId="1" xfId="0" applyNumberFormat="1" applyBorder="1"/>
    <xf numFmtId="3" fontId="0" fillId="0" borderId="0" xfId="0" applyNumberFormat="1"/>
    <xf numFmtId="164" fontId="0" fillId="0" borderId="1" xfId="1" applyFont="1" applyFill="1" applyBorder="1"/>
    <xf numFmtId="15" fontId="0" fillId="0" borderId="2" xfId="0" applyNumberFormat="1" applyBorder="1"/>
    <xf numFmtId="0" fontId="0" fillId="0" borderId="11" xfId="0" applyBorder="1"/>
    <xf numFmtId="164" fontId="0" fillId="0" borderId="2" xfId="1" applyFont="1" applyBorder="1"/>
    <xf numFmtId="43" fontId="0" fillId="0" borderId="2" xfId="0" applyNumberFormat="1" applyBorder="1"/>
  </cellXfs>
  <cellStyles count="3">
    <cellStyle name="Comma" xfId="1" builtinId="3"/>
    <cellStyle name="Comma 2" xfId="2" xr:uid="{7D8E5CC4-1F36-4240-A468-5763C59D94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5F36-4137-4411-B666-91160967F283}">
  <dimension ref="A1:H124"/>
  <sheetViews>
    <sheetView tabSelected="1" zoomScaleNormal="100" workbookViewId="0">
      <selection activeCell="D126" sqref="D126"/>
    </sheetView>
  </sheetViews>
  <sheetFormatPr defaultColWidth="24.26953125" defaultRowHeight="14.5" x14ac:dyDescent="0.35"/>
  <cols>
    <col min="2" max="2" width="31.54296875" bestFit="1" customWidth="1"/>
    <col min="4" max="4" width="19.1796875" bestFit="1" customWidth="1"/>
    <col min="5" max="6" width="14.26953125" bestFit="1" customWidth="1"/>
  </cols>
  <sheetData>
    <row r="1" spans="1:8" x14ac:dyDescent="0.35">
      <c r="B1" s="1" t="s">
        <v>0</v>
      </c>
      <c r="C1" s="2">
        <v>15926633.92</v>
      </c>
      <c r="D1" s="3"/>
      <c r="E1">
        <v>20000000</v>
      </c>
      <c r="F1" s="3">
        <v>17993309.120000001</v>
      </c>
    </row>
    <row r="2" spans="1:8" x14ac:dyDescent="0.35">
      <c r="B2" s="1" t="s">
        <v>1</v>
      </c>
      <c r="C2" s="2">
        <v>0.08</v>
      </c>
      <c r="D2" s="3"/>
      <c r="E2" s="2">
        <v>0.08</v>
      </c>
      <c r="F2" s="2">
        <v>0.08</v>
      </c>
    </row>
    <row r="3" spans="1:8" x14ac:dyDescent="0.35">
      <c r="B3" s="1" t="s">
        <v>2</v>
      </c>
      <c r="C3" s="2">
        <v>24</v>
      </c>
      <c r="D3" s="3"/>
      <c r="E3" s="2">
        <v>24</v>
      </c>
      <c r="F3" s="2">
        <v>24</v>
      </c>
    </row>
    <row r="4" spans="1:8" x14ac:dyDescent="0.35">
      <c r="B4" s="1" t="s">
        <v>3</v>
      </c>
      <c r="C4" s="2">
        <f>C1/C3</f>
        <v>663609.7466666667</v>
      </c>
      <c r="D4" s="3"/>
      <c r="E4" s="2">
        <f>E1/E3</f>
        <v>833333.33333333337</v>
      </c>
      <c r="F4" s="2">
        <f>F1/F3</f>
        <v>749721.21333333338</v>
      </c>
    </row>
    <row r="5" spans="1:8" x14ac:dyDescent="0.35">
      <c r="B5" s="1" t="s">
        <v>4</v>
      </c>
      <c r="C5" s="2">
        <f>C1*C2/12</f>
        <v>106177.55946666667</v>
      </c>
      <c r="D5" s="3"/>
      <c r="E5" s="2">
        <f>E1*E2/12</f>
        <v>133333.33333333334</v>
      </c>
      <c r="F5" s="2">
        <f>F1*F2/12</f>
        <v>119955.39413333335</v>
      </c>
    </row>
    <row r="6" spans="1:8" x14ac:dyDescent="0.35">
      <c r="B6" s="4" t="s">
        <v>5</v>
      </c>
      <c r="C6" s="5">
        <f>C4+C5</f>
        <v>769787.30613333336</v>
      </c>
      <c r="D6" s="3"/>
      <c r="E6" s="5">
        <f>E4+E5</f>
        <v>966666.66666666674</v>
      </c>
      <c r="F6" s="5">
        <f>F4+F5</f>
        <v>869676.60746666673</v>
      </c>
    </row>
    <row r="7" spans="1:8" x14ac:dyDescent="0.35">
      <c r="A7" s="6" t="s">
        <v>6</v>
      </c>
      <c r="B7" s="7" t="s">
        <v>7</v>
      </c>
      <c r="C7" s="8">
        <v>2293720357</v>
      </c>
      <c r="D7" s="9" t="s">
        <v>8</v>
      </c>
      <c r="E7" s="10">
        <f>F11-(SUM(D11:D199))</f>
        <v>19999999.664444439</v>
      </c>
      <c r="G7">
        <v>833333.33</v>
      </c>
      <c r="H7">
        <v>133333.32999999999</v>
      </c>
    </row>
    <row r="8" spans="1:8" x14ac:dyDescent="0.35">
      <c r="A8" s="6" t="s">
        <v>9</v>
      </c>
      <c r="B8" s="11">
        <v>2293720357</v>
      </c>
      <c r="C8" s="12"/>
      <c r="D8" s="9" t="s">
        <v>10</v>
      </c>
      <c r="E8" s="10">
        <f>SUM(E12:E194)</f>
        <v>4474392.588888891</v>
      </c>
    </row>
    <row r="9" spans="1:8" x14ac:dyDescent="0.35">
      <c r="A9" s="6" t="s">
        <v>11</v>
      </c>
      <c r="B9" s="13">
        <v>6</v>
      </c>
      <c r="C9" s="12"/>
      <c r="D9" s="14"/>
      <c r="E9" s="15"/>
    </row>
    <row r="10" spans="1:8" x14ac:dyDescent="0.35">
      <c r="A10" s="16" t="s">
        <v>12</v>
      </c>
      <c r="B10" s="17" t="s">
        <v>13</v>
      </c>
      <c r="C10" s="17" t="s">
        <v>14</v>
      </c>
      <c r="D10" s="18" t="s">
        <v>15</v>
      </c>
      <c r="E10" s="19" t="s">
        <v>16</v>
      </c>
      <c r="F10" s="10" t="s">
        <v>17</v>
      </c>
    </row>
    <row r="11" spans="1:8" x14ac:dyDescent="0.35">
      <c r="A11" s="20">
        <v>44656</v>
      </c>
      <c r="B11" s="21" t="s">
        <v>0</v>
      </c>
      <c r="C11" s="22">
        <v>1500000</v>
      </c>
      <c r="D11" s="23"/>
      <c r="E11" s="24"/>
      <c r="F11" s="25">
        <v>1500000</v>
      </c>
    </row>
    <row r="12" spans="1:8" x14ac:dyDescent="0.35">
      <c r="A12" s="20">
        <v>44680</v>
      </c>
      <c r="B12" s="26" t="s">
        <v>18</v>
      </c>
      <c r="C12" s="27">
        <f t="shared" ref="C12:C25" si="0">D12+E12</f>
        <v>260000</v>
      </c>
      <c r="D12" s="27">
        <v>250000</v>
      </c>
      <c r="E12" s="27">
        <v>10000</v>
      </c>
      <c r="F12" s="28">
        <f>F11-D12</f>
        <v>1250000</v>
      </c>
    </row>
    <row r="13" spans="1:8" x14ac:dyDescent="0.35">
      <c r="A13" s="20">
        <v>44704</v>
      </c>
      <c r="B13" s="26" t="s">
        <v>19</v>
      </c>
      <c r="C13" s="27">
        <f t="shared" si="0"/>
        <v>260000</v>
      </c>
      <c r="D13" s="27">
        <v>250000</v>
      </c>
      <c r="E13" s="27">
        <v>10000</v>
      </c>
      <c r="F13" s="28">
        <f>F12-D13</f>
        <v>1000000</v>
      </c>
    </row>
    <row r="14" spans="1:8" x14ac:dyDescent="0.35">
      <c r="A14" s="20">
        <v>44737</v>
      </c>
      <c r="B14" s="26" t="s">
        <v>20</v>
      </c>
      <c r="C14" s="27">
        <f t="shared" si="0"/>
        <v>260000</v>
      </c>
      <c r="D14" s="27">
        <v>250000</v>
      </c>
      <c r="E14" s="27">
        <v>10000</v>
      </c>
      <c r="F14" s="28">
        <f>F13-D14</f>
        <v>750000</v>
      </c>
    </row>
    <row r="15" spans="1:8" x14ac:dyDescent="0.35">
      <c r="A15" s="20">
        <v>44740</v>
      </c>
      <c r="B15" s="26"/>
      <c r="C15" s="27">
        <f t="shared" si="0"/>
        <v>-1820000</v>
      </c>
      <c r="D15" s="27">
        <v>-1820000</v>
      </c>
      <c r="E15" s="27"/>
      <c r="F15" s="28">
        <f>F14-D15</f>
        <v>2570000</v>
      </c>
    </row>
    <row r="16" spans="1:8" x14ac:dyDescent="0.35">
      <c r="A16" s="20">
        <v>44764</v>
      </c>
      <c r="B16" s="26" t="s">
        <v>21</v>
      </c>
      <c r="C16" s="27">
        <f t="shared" si="0"/>
        <v>260000</v>
      </c>
      <c r="D16" s="27">
        <v>250000</v>
      </c>
      <c r="E16" s="27">
        <v>10000</v>
      </c>
      <c r="F16" s="28">
        <f>F15-D16</f>
        <v>2320000</v>
      </c>
    </row>
    <row r="17" spans="1:6" x14ac:dyDescent="0.35">
      <c r="A17" s="20">
        <v>44795</v>
      </c>
      <c r="B17" s="26" t="s">
        <v>22</v>
      </c>
      <c r="C17" s="27">
        <f t="shared" si="0"/>
        <v>402133.33333333337</v>
      </c>
      <c r="D17" s="27">
        <v>386666.66666666669</v>
      </c>
      <c r="E17" s="27">
        <v>15466.666666666666</v>
      </c>
      <c r="F17" s="28">
        <f t="shared" ref="F17:F80" si="1">F16-D17</f>
        <v>1933333.3333333333</v>
      </c>
    </row>
    <row r="18" spans="1:6" x14ac:dyDescent="0.35">
      <c r="A18" s="20">
        <v>44820</v>
      </c>
      <c r="B18" s="26" t="s">
        <v>23</v>
      </c>
      <c r="C18" s="27">
        <f t="shared" si="0"/>
        <v>-3900000</v>
      </c>
      <c r="D18" s="27">
        <v>-3900000</v>
      </c>
      <c r="E18" s="26"/>
      <c r="F18" s="28">
        <f t="shared" si="1"/>
        <v>5833333.333333333</v>
      </c>
    </row>
    <row r="19" spans="1:6" x14ac:dyDescent="0.35">
      <c r="A19" s="20">
        <v>44827</v>
      </c>
      <c r="B19" s="26" t="s">
        <v>24</v>
      </c>
      <c r="C19" s="27">
        <f t="shared" si="0"/>
        <v>281944.44444444444</v>
      </c>
      <c r="D19" s="27">
        <v>243055.55555555553</v>
      </c>
      <c r="E19" s="27">
        <v>38888.888888888883</v>
      </c>
      <c r="F19" s="28">
        <f t="shared" si="1"/>
        <v>5590277.7777777771</v>
      </c>
    </row>
    <row r="20" spans="1:6" x14ac:dyDescent="0.35">
      <c r="A20" s="20">
        <v>44855</v>
      </c>
      <c r="B20" s="26" t="s">
        <v>25</v>
      </c>
      <c r="C20" s="27">
        <f t="shared" si="0"/>
        <v>281944.44444444444</v>
      </c>
      <c r="D20" s="27">
        <v>243055.55555555553</v>
      </c>
      <c r="E20" s="27">
        <v>38888.888888888883</v>
      </c>
      <c r="F20" s="28">
        <f t="shared" si="1"/>
        <v>5347222.2222222211</v>
      </c>
    </row>
    <row r="21" spans="1:6" x14ac:dyDescent="0.35">
      <c r="A21" s="20">
        <v>44888</v>
      </c>
      <c r="B21" s="26" t="s">
        <v>26</v>
      </c>
      <c r="C21" s="27">
        <f t="shared" si="0"/>
        <v>281944.4444444449</v>
      </c>
      <c r="D21" s="27">
        <v>243055.555555556</v>
      </c>
      <c r="E21" s="27">
        <v>38888.888888888898</v>
      </c>
      <c r="F21" s="28">
        <f t="shared" si="1"/>
        <v>5104166.6666666651</v>
      </c>
    </row>
    <row r="22" spans="1:6" x14ac:dyDescent="0.35">
      <c r="A22" s="20">
        <v>44915</v>
      </c>
      <c r="B22" s="26" t="s">
        <v>27</v>
      </c>
      <c r="C22" s="27">
        <f t="shared" si="0"/>
        <v>281944.4444444449</v>
      </c>
      <c r="D22" s="27">
        <v>243055.555555556</v>
      </c>
      <c r="E22" s="27">
        <v>38888.888888888898</v>
      </c>
      <c r="F22" s="28">
        <f t="shared" si="1"/>
        <v>4861111.1111111091</v>
      </c>
    </row>
    <row r="23" spans="1:6" x14ac:dyDescent="0.35">
      <c r="A23" s="20">
        <v>44949</v>
      </c>
      <c r="B23" s="26" t="s">
        <v>28</v>
      </c>
      <c r="C23" s="27">
        <f t="shared" si="0"/>
        <v>281944.4444444449</v>
      </c>
      <c r="D23" s="27">
        <v>243055.555555556</v>
      </c>
      <c r="E23" s="27">
        <v>38888.888888888898</v>
      </c>
      <c r="F23" s="28">
        <f t="shared" si="1"/>
        <v>4618055.5555555532</v>
      </c>
    </row>
    <row r="24" spans="1:6" x14ac:dyDescent="0.35">
      <c r="A24" s="20">
        <v>44980</v>
      </c>
      <c r="B24" s="26" t="s">
        <v>29</v>
      </c>
      <c r="C24" s="27">
        <f t="shared" si="0"/>
        <v>281944.4444444449</v>
      </c>
      <c r="D24" s="27">
        <v>243055.555555556</v>
      </c>
      <c r="E24" s="27">
        <v>38888.888888888898</v>
      </c>
      <c r="F24" s="28">
        <f t="shared" si="1"/>
        <v>4374999.9999999972</v>
      </c>
    </row>
    <row r="25" spans="1:6" x14ac:dyDescent="0.35">
      <c r="A25" s="20">
        <v>45008</v>
      </c>
      <c r="B25" s="26" t="s">
        <v>30</v>
      </c>
      <c r="C25" s="27">
        <f t="shared" si="0"/>
        <v>281944.4444444449</v>
      </c>
      <c r="D25" s="27">
        <v>243055.555555556</v>
      </c>
      <c r="E25" s="27">
        <v>38888.888888888898</v>
      </c>
      <c r="F25" s="28">
        <f t="shared" si="1"/>
        <v>4131944.4444444412</v>
      </c>
    </row>
    <row r="26" spans="1:6" x14ac:dyDescent="0.35">
      <c r="A26" s="20">
        <v>45034</v>
      </c>
      <c r="B26" s="26" t="s">
        <v>23</v>
      </c>
      <c r="C26" s="26"/>
      <c r="D26" s="27">
        <v>-4000000</v>
      </c>
      <c r="E26" s="26"/>
      <c r="F26" s="28">
        <f t="shared" si="1"/>
        <v>8131944.4444444412</v>
      </c>
    </row>
    <row r="27" spans="1:6" x14ac:dyDescent="0.35">
      <c r="A27" s="20">
        <v>45036</v>
      </c>
      <c r="B27" s="26" t="s">
        <v>18</v>
      </c>
      <c r="C27" s="27">
        <f>D27+E27</f>
        <v>867407.39999999991</v>
      </c>
      <c r="D27" s="27">
        <v>813194.44</v>
      </c>
      <c r="E27" s="27">
        <v>54212.959999999999</v>
      </c>
      <c r="F27" s="28">
        <f t="shared" si="1"/>
        <v>7318750.0044444408</v>
      </c>
    </row>
    <row r="28" spans="1:6" x14ac:dyDescent="0.35">
      <c r="A28" s="20">
        <v>45069</v>
      </c>
      <c r="B28" s="26" t="s">
        <v>19</v>
      </c>
      <c r="C28" s="28">
        <f>D28+E28</f>
        <v>813194</v>
      </c>
      <c r="D28" s="27">
        <v>813194</v>
      </c>
      <c r="E28" s="26"/>
      <c r="F28" s="28">
        <f t="shared" si="1"/>
        <v>6505556.0044444408</v>
      </c>
    </row>
    <row r="29" spans="1:6" x14ac:dyDescent="0.35">
      <c r="A29" s="20">
        <v>45100</v>
      </c>
      <c r="B29" s="26" t="s">
        <v>20</v>
      </c>
      <c r="C29" s="27">
        <f>D29+E29</f>
        <v>867407.39999999991</v>
      </c>
      <c r="D29" s="27">
        <v>813194.44</v>
      </c>
      <c r="E29" s="27">
        <v>54212.959999999999</v>
      </c>
      <c r="F29" s="28">
        <f t="shared" si="1"/>
        <v>5692361.5644444413</v>
      </c>
    </row>
    <row r="30" spans="1:6" x14ac:dyDescent="0.35">
      <c r="A30" s="20">
        <v>45107</v>
      </c>
      <c r="B30" s="26" t="s">
        <v>23</v>
      </c>
      <c r="C30" s="26"/>
      <c r="D30" s="27">
        <v>-4000000</v>
      </c>
      <c r="E30" s="26"/>
      <c r="F30" s="28">
        <f t="shared" si="1"/>
        <v>9692361.5644444413</v>
      </c>
    </row>
    <row r="31" spans="1:6" x14ac:dyDescent="0.35">
      <c r="A31" s="20">
        <v>45128</v>
      </c>
      <c r="B31" s="26" t="s">
        <v>21</v>
      </c>
      <c r="C31" s="27">
        <f>D31+E31</f>
        <v>1033851.9</v>
      </c>
      <c r="D31" s="27">
        <v>969236.16</v>
      </c>
      <c r="E31" s="27">
        <v>64615.74</v>
      </c>
      <c r="F31" s="28">
        <f t="shared" si="1"/>
        <v>8723125.4044444412</v>
      </c>
    </row>
    <row r="32" spans="1:6" x14ac:dyDescent="0.35">
      <c r="A32" s="20">
        <v>45161</v>
      </c>
      <c r="B32" s="26" t="s">
        <v>22</v>
      </c>
      <c r="C32" s="27">
        <f>D32+E32</f>
        <v>1033851.9</v>
      </c>
      <c r="D32" s="27">
        <v>969236.16</v>
      </c>
      <c r="E32" s="27">
        <v>64615.74</v>
      </c>
      <c r="F32" s="28">
        <f t="shared" si="1"/>
        <v>7753889.2444444411</v>
      </c>
    </row>
    <row r="33" spans="1:8" x14ac:dyDescent="0.35">
      <c r="A33" s="20">
        <v>45191</v>
      </c>
      <c r="B33" s="26" t="s">
        <v>24</v>
      </c>
      <c r="C33" s="27">
        <f>D33+E33</f>
        <v>1033851.9</v>
      </c>
      <c r="D33" s="27">
        <v>969236.16</v>
      </c>
      <c r="E33" s="27">
        <v>64615.74</v>
      </c>
      <c r="F33" s="28">
        <f t="shared" si="1"/>
        <v>6784653.0844444409</v>
      </c>
    </row>
    <row r="34" spans="1:8" x14ac:dyDescent="0.35">
      <c r="A34" s="20">
        <v>45202</v>
      </c>
      <c r="B34" s="26" t="s">
        <v>31</v>
      </c>
      <c r="C34" s="26"/>
      <c r="D34" s="27">
        <v>-4500000</v>
      </c>
      <c r="E34" s="26"/>
      <c r="F34" s="28">
        <f t="shared" si="1"/>
        <v>11284653.084444441</v>
      </c>
    </row>
    <row r="35" spans="1:8" x14ac:dyDescent="0.35">
      <c r="A35" s="20">
        <v>45222</v>
      </c>
      <c r="B35" s="26" t="s">
        <v>25</v>
      </c>
      <c r="C35" s="28">
        <f>D35+E35</f>
        <v>1015618.78</v>
      </c>
      <c r="D35" s="27">
        <v>940387.76</v>
      </c>
      <c r="E35" s="27">
        <v>75231.02</v>
      </c>
      <c r="F35" s="28">
        <f t="shared" si="1"/>
        <v>10344265.324444441</v>
      </c>
    </row>
    <row r="36" spans="1:8" x14ac:dyDescent="0.35">
      <c r="A36" s="20">
        <v>45253</v>
      </c>
      <c r="B36" s="26" t="s">
        <v>26</v>
      </c>
      <c r="C36" s="28">
        <f>D36+E36</f>
        <v>1015618.78</v>
      </c>
      <c r="D36" s="27">
        <v>940387.76</v>
      </c>
      <c r="E36" s="27">
        <v>75231.02</v>
      </c>
      <c r="F36" s="28">
        <f t="shared" si="1"/>
        <v>9403877.5644444413</v>
      </c>
      <c r="G36" t="s">
        <v>32</v>
      </c>
      <c r="H36" s="29">
        <v>2000000</v>
      </c>
    </row>
    <row r="37" spans="1:8" x14ac:dyDescent="0.35">
      <c r="A37" s="20">
        <v>45257</v>
      </c>
      <c r="B37" s="26" t="s">
        <v>33</v>
      </c>
      <c r="C37" s="26"/>
      <c r="D37" s="27">
        <v>-2000000</v>
      </c>
      <c r="E37" s="26"/>
      <c r="F37" s="28">
        <f t="shared" si="1"/>
        <v>11403877.564444441</v>
      </c>
      <c r="G37" t="s">
        <v>34</v>
      </c>
      <c r="H37" s="29">
        <v>9403878</v>
      </c>
    </row>
    <row r="38" spans="1:8" x14ac:dyDescent="0.35">
      <c r="A38" s="20">
        <v>45280</v>
      </c>
      <c r="B38" s="26" t="s">
        <v>27</v>
      </c>
      <c r="C38" s="28">
        <f>D38+E38</f>
        <v>1015618.78</v>
      </c>
      <c r="D38" s="27">
        <v>940387.76</v>
      </c>
      <c r="E38" s="27">
        <v>75231.02</v>
      </c>
      <c r="F38" s="28">
        <f t="shared" si="1"/>
        <v>10463489.804444442</v>
      </c>
    </row>
    <row r="39" spans="1:8" x14ac:dyDescent="0.35">
      <c r="A39" s="20">
        <v>45280</v>
      </c>
      <c r="B39" s="26" t="s">
        <v>35</v>
      </c>
      <c r="C39" s="27">
        <f>D39+E39</f>
        <v>680000</v>
      </c>
      <c r="D39" s="27">
        <v>666666.67000000004</v>
      </c>
      <c r="E39" s="27">
        <v>13333.33</v>
      </c>
      <c r="F39" s="28">
        <f t="shared" si="1"/>
        <v>9796823.1344444416</v>
      </c>
    </row>
    <row r="40" spans="1:8" x14ac:dyDescent="0.35">
      <c r="A40" s="20">
        <v>45281</v>
      </c>
      <c r="B40" s="26" t="s">
        <v>36</v>
      </c>
      <c r="C40" s="27">
        <v>-6000000</v>
      </c>
      <c r="D40" s="27">
        <v>-6000000</v>
      </c>
      <c r="E40" s="26"/>
      <c r="F40" s="28">
        <f t="shared" si="1"/>
        <v>15796823.134444442</v>
      </c>
      <c r="H40" s="3">
        <v>14463489.789999999</v>
      </c>
    </row>
    <row r="41" spans="1:8" x14ac:dyDescent="0.35">
      <c r="A41" s="20">
        <v>45314</v>
      </c>
      <c r="B41" s="26" t="s">
        <v>37</v>
      </c>
      <c r="C41" s="27">
        <f>D41+E41</f>
        <v>680000</v>
      </c>
      <c r="D41" s="27">
        <v>666666.67000000004</v>
      </c>
      <c r="E41" s="27">
        <v>13333.33</v>
      </c>
      <c r="F41" s="28">
        <f t="shared" si="1"/>
        <v>15130156.464444442</v>
      </c>
    </row>
    <row r="42" spans="1:8" x14ac:dyDescent="0.35">
      <c r="A42" s="20">
        <v>45314</v>
      </c>
      <c r="B42" s="26" t="s">
        <v>28</v>
      </c>
      <c r="C42" s="27">
        <f>D42+E42</f>
        <v>1301714.0900000001</v>
      </c>
      <c r="D42" s="27">
        <v>1205290.82</v>
      </c>
      <c r="E42" s="27">
        <v>96423.27</v>
      </c>
      <c r="F42" s="28">
        <f t="shared" si="1"/>
        <v>13924865.644444441</v>
      </c>
    </row>
    <row r="43" spans="1:8" x14ac:dyDescent="0.35">
      <c r="A43" s="20">
        <v>45330</v>
      </c>
      <c r="B43" s="26" t="s">
        <v>38</v>
      </c>
      <c r="C43" s="27">
        <f>D43+E43</f>
        <v>680000</v>
      </c>
      <c r="D43" s="27">
        <v>666666.67000000004</v>
      </c>
      <c r="E43" s="27">
        <v>13333.33</v>
      </c>
      <c r="F43" s="28">
        <f t="shared" si="1"/>
        <v>13258198.974444441</v>
      </c>
    </row>
    <row r="44" spans="1:8" x14ac:dyDescent="0.35">
      <c r="A44" s="20">
        <v>45330</v>
      </c>
      <c r="B44" s="26" t="s">
        <v>33</v>
      </c>
      <c r="C44" s="26"/>
      <c r="D44" s="27">
        <v>-2000000</v>
      </c>
      <c r="E44" s="26"/>
      <c r="F44" s="28">
        <f t="shared" si="1"/>
        <v>15258198.974444441</v>
      </c>
    </row>
    <row r="45" spans="1:8" x14ac:dyDescent="0.35">
      <c r="A45" s="20">
        <v>45345</v>
      </c>
      <c r="B45" s="26" t="s">
        <v>29</v>
      </c>
      <c r="C45" s="27">
        <f>D45+E45</f>
        <v>1301714.0900000001</v>
      </c>
      <c r="D45" s="27">
        <v>1205290.82</v>
      </c>
      <c r="E45" s="27">
        <v>96423.27</v>
      </c>
      <c r="F45" s="28">
        <f t="shared" si="1"/>
        <v>14052908.154444441</v>
      </c>
    </row>
    <row r="46" spans="1:8" x14ac:dyDescent="0.35">
      <c r="A46" s="20">
        <v>45345</v>
      </c>
      <c r="B46" s="26" t="s">
        <v>35</v>
      </c>
      <c r="C46" s="27">
        <f>D46+E46</f>
        <v>680000</v>
      </c>
      <c r="D46" s="27">
        <v>666666.67000000004</v>
      </c>
      <c r="E46" s="27">
        <v>13333.33</v>
      </c>
      <c r="F46" s="28">
        <f t="shared" si="1"/>
        <v>13386241.484444441</v>
      </c>
    </row>
    <row r="47" spans="1:8" x14ac:dyDescent="0.35">
      <c r="A47" s="20">
        <v>45357</v>
      </c>
      <c r="B47" s="26" t="s">
        <v>31</v>
      </c>
      <c r="C47" s="26"/>
      <c r="D47" s="27">
        <v>-3000000</v>
      </c>
      <c r="E47" s="26"/>
      <c r="F47" s="28">
        <f t="shared" si="1"/>
        <v>16386241.484444441</v>
      </c>
    </row>
    <row r="48" spans="1:8" x14ac:dyDescent="0.35">
      <c r="A48" s="20">
        <v>45373</v>
      </c>
      <c r="B48" s="26" t="s">
        <v>37</v>
      </c>
      <c r="C48" s="27">
        <f>D48+E48</f>
        <v>680000</v>
      </c>
      <c r="D48" s="27">
        <v>666666.67000000004</v>
      </c>
      <c r="E48" s="27">
        <v>13333.33</v>
      </c>
      <c r="F48" s="28">
        <f t="shared" si="1"/>
        <v>15719574.814444441</v>
      </c>
    </row>
    <row r="49" spans="1:8" x14ac:dyDescent="0.35">
      <c r="A49" s="20">
        <v>45373</v>
      </c>
      <c r="B49" s="26" t="s">
        <v>30</v>
      </c>
      <c r="C49" s="27">
        <f>D49+E49</f>
        <v>1354761.73</v>
      </c>
      <c r="D49" s="27">
        <v>1254409.01</v>
      </c>
      <c r="E49" s="27">
        <v>100352.72</v>
      </c>
      <c r="F49" s="28">
        <f t="shared" si="1"/>
        <v>14465165.804444442</v>
      </c>
    </row>
    <row r="50" spans="1:8" x14ac:dyDescent="0.35">
      <c r="A50" s="20">
        <v>45405</v>
      </c>
      <c r="B50" s="26" t="s">
        <v>38</v>
      </c>
      <c r="C50" s="27">
        <f>D50+E50</f>
        <v>680000</v>
      </c>
      <c r="D50" s="27">
        <v>666666.67000000004</v>
      </c>
      <c r="E50" s="27">
        <v>13333.33</v>
      </c>
      <c r="F50" s="28">
        <f t="shared" si="1"/>
        <v>13798499.134444442</v>
      </c>
    </row>
    <row r="51" spans="1:8" x14ac:dyDescent="0.35">
      <c r="A51" s="20">
        <v>45405</v>
      </c>
      <c r="B51" s="26" t="s">
        <v>18</v>
      </c>
      <c r="C51" s="27">
        <f>D51+E51</f>
        <v>1354761.73</v>
      </c>
      <c r="D51" s="27">
        <v>1254409.01</v>
      </c>
      <c r="E51" s="27">
        <v>100352.72</v>
      </c>
      <c r="F51" s="28">
        <f t="shared" si="1"/>
        <v>12544090.124444442</v>
      </c>
    </row>
    <row r="52" spans="1:8" x14ac:dyDescent="0.35">
      <c r="A52" s="20">
        <v>45406</v>
      </c>
      <c r="B52" s="26" t="s">
        <v>33</v>
      </c>
      <c r="C52" s="26"/>
      <c r="D52" s="27">
        <v>-2000000</v>
      </c>
      <c r="E52" s="27"/>
      <c r="F52" s="28">
        <f t="shared" si="1"/>
        <v>14544090.124444442</v>
      </c>
    </row>
    <row r="53" spans="1:8" x14ac:dyDescent="0.35">
      <c r="A53" s="20">
        <v>45415</v>
      </c>
      <c r="B53" s="26" t="s">
        <v>39</v>
      </c>
      <c r="C53" s="27">
        <f>D53+E53</f>
        <v>1354761.73</v>
      </c>
      <c r="D53" s="27">
        <v>1254409.01</v>
      </c>
      <c r="E53" s="27">
        <v>100352.72</v>
      </c>
      <c r="F53" s="28">
        <f t="shared" si="1"/>
        <v>13289681.114444442</v>
      </c>
    </row>
    <row r="54" spans="1:8" x14ac:dyDescent="0.35">
      <c r="A54" s="20">
        <v>45418</v>
      </c>
      <c r="B54" s="26" t="s">
        <v>31</v>
      </c>
      <c r="C54" s="26"/>
      <c r="D54" s="27">
        <v>-4500000</v>
      </c>
      <c r="E54" s="26"/>
      <c r="F54" s="28">
        <f t="shared" si="1"/>
        <v>17789681.114444442</v>
      </c>
    </row>
    <row r="55" spans="1:8" x14ac:dyDescent="0.35">
      <c r="A55" s="20">
        <v>45435</v>
      </c>
      <c r="B55" s="26" t="s">
        <v>35</v>
      </c>
      <c r="C55" s="27">
        <f>D55+E55</f>
        <v>680000</v>
      </c>
      <c r="D55" s="27">
        <v>666666.67000000004</v>
      </c>
      <c r="E55" s="27">
        <v>13333.33</v>
      </c>
      <c r="F55" s="28">
        <f t="shared" si="1"/>
        <v>17123014.44444444</v>
      </c>
    </row>
    <row r="56" spans="1:8" x14ac:dyDescent="0.35">
      <c r="A56" s="20">
        <v>45435</v>
      </c>
      <c r="B56" s="26" t="s">
        <v>19</v>
      </c>
      <c r="C56" s="27">
        <f>D56+E56</f>
        <v>763167.92</v>
      </c>
      <c r="D56" s="27">
        <v>657903.38</v>
      </c>
      <c r="E56" s="27">
        <v>105264.54</v>
      </c>
      <c r="F56" s="28">
        <f t="shared" si="1"/>
        <v>16465111.064444439</v>
      </c>
    </row>
    <row r="57" spans="1:8" x14ac:dyDescent="0.35">
      <c r="A57" s="20">
        <v>45464</v>
      </c>
      <c r="B57" s="26" t="s">
        <v>37</v>
      </c>
      <c r="C57" s="27">
        <f>D57+E57</f>
        <v>680000</v>
      </c>
      <c r="D57" s="27">
        <v>666666.67000000004</v>
      </c>
      <c r="E57" s="27">
        <v>13333.33</v>
      </c>
      <c r="F57" s="28">
        <f t="shared" si="1"/>
        <v>15798444.39444444</v>
      </c>
    </row>
    <row r="58" spans="1:8" x14ac:dyDescent="0.35">
      <c r="A58" s="20">
        <v>45464</v>
      </c>
      <c r="B58" s="27" t="s">
        <v>20</v>
      </c>
      <c r="C58" s="27">
        <f>D58+E58</f>
        <v>763167.92</v>
      </c>
      <c r="D58" s="27">
        <v>657903.38</v>
      </c>
      <c r="E58" s="27">
        <v>105264.54</v>
      </c>
      <c r="F58" s="28">
        <f t="shared" si="1"/>
        <v>15140541.014444439</v>
      </c>
    </row>
    <row r="59" spans="1:8" x14ac:dyDescent="0.35">
      <c r="A59" s="20">
        <v>45464</v>
      </c>
      <c r="B59" s="26" t="s">
        <v>40</v>
      </c>
      <c r="C59" s="27">
        <f>D59+E59</f>
        <v>680000</v>
      </c>
      <c r="D59" s="27">
        <v>666666.67000000004</v>
      </c>
      <c r="E59" s="27">
        <v>13333.33</v>
      </c>
      <c r="F59" s="28">
        <f t="shared" si="1"/>
        <v>14473874.344444439</v>
      </c>
    </row>
    <row r="60" spans="1:8" x14ac:dyDescent="0.35">
      <c r="A60" s="20">
        <v>45464</v>
      </c>
      <c r="B60" s="26" t="s">
        <v>33</v>
      </c>
      <c r="C60" s="26"/>
      <c r="D60" s="27">
        <v>-2000000</v>
      </c>
      <c r="E60" s="26"/>
      <c r="F60" s="28">
        <f t="shared" si="1"/>
        <v>16473874.344444439</v>
      </c>
    </row>
    <row r="61" spans="1:8" x14ac:dyDescent="0.35">
      <c r="A61" s="20">
        <v>45496</v>
      </c>
      <c r="B61" s="26" t="s">
        <v>21</v>
      </c>
      <c r="C61" s="27">
        <f>D61+E61</f>
        <v>763167.92</v>
      </c>
      <c r="D61" s="27">
        <v>657903.38</v>
      </c>
      <c r="E61" s="27">
        <v>105264.54</v>
      </c>
      <c r="F61" s="28">
        <f t="shared" si="1"/>
        <v>15815970.964444438</v>
      </c>
      <c r="H61">
        <v>13158068</v>
      </c>
    </row>
    <row r="62" spans="1:8" x14ac:dyDescent="0.35">
      <c r="A62" s="20">
        <v>45496</v>
      </c>
      <c r="B62" s="26" t="s">
        <v>35</v>
      </c>
      <c r="C62" s="27">
        <f>D62+E62</f>
        <v>680000</v>
      </c>
      <c r="D62" s="27">
        <v>666666.67000000004</v>
      </c>
      <c r="E62" s="27">
        <v>13333.33</v>
      </c>
      <c r="F62" s="28">
        <f t="shared" si="1"/>
        <v>15149304.294444438</v>
      </c>
    </row>
    <row r="63" spans="1:8" x14ac:dyDescent="0.35">
      <c r="A63" s="20">
        <v>45527</v>
      </c>
      <c r="B63" s="26" t="s">
        <v>22</v>
      </c>
      <c r="C63" s="27">
        <f>D63+E63</f>
        <v>763167.92</v>
      </c>
      <c r="D63" s="27">
        <v>657903.38</v>
      </c>
      <c r="E63" s="27">
        <v>105264.54</v>
      </c>
      <c r="F63" s="28">
        <f t="shared" si="1"/>
        <v>14491400.914444437</v>
      </c>
    </row>
    <row r="64" spans="1:8" x14ac:dyDescent="0.35">
      <c r="A64" s="20">
        <v>45527</v>
      </c>
      <c r="B64" s="26" t="s">
        <v>37</v>
      </c>
      <c r="C64" s="27">
        <f>D64+E64</f>
        <v>680000</v>
      </c>
      <c r="D64" s="27">
        <v>666666.67000000004</v>
      </c>
      <c r="E64" s="27">
        <v>13333.33</v>
      </c>
      <c r="F64" s="28">
        <f t="shared" si="1"/>
        <v>13824734.244444437</v>
      </c>
    </row>
    <row r="65" spans="1:6" x14ac:dyDescent="0.35">
      <c r="A65" s="20">
        <v>45527</v>
      </c>
      <c r="B65" s="26" t="s">
        <v>40</v>
      </c>
      <c r="C65" s="27">
        <f>D65+E65</f>
        <v>680000</v>
      </c>
      <c r="D65" s="27">
        <v>666666.67000000004</v>
      </c>
      <c r="E65" s="27">
        <v>13333.33</v>
      </c>
      <c r="F65" s="28">
        <f t="shared" si="1"/>
        <v>13158067.574444437</v>
      </c>
    </row>
    <row r="66" spans="1:6" x14ac:dyDescent="0.35">
      <c r="A66" s="20">
        <v>45530</v>
      </c>
      <c r="B66" s="26" t="s">
        <v>33</v>
      </c>
      <c r="C66" s="26"/>
      <c r="D66" s="27">
        <v>-2000000</v>
      </c>
      <c r="E66" s="26"/>
      <c r="F66" s="28">
        <f t="shared" si="1"/>
        <v>15158067.574444437</v>
      </c>
    </row>
    <row r="67" spans="1:6" x14ac:dyDescent="0.35">
      <c r="A67" s="20">
        <v>45540</v>
      </c>
      <c r="B67" s="26" t="s">
        <v>31</v>
      </c>
      <c r="C67" s="26"/>
      <c r="D67" s="27">
        <v>-2800000</v>
      </c>
      <c r="E67" s="26"/>
      <c r="F67" s="28">
        <f t="shared" si="1"/>
        <v>17958067.574444436</v>
      </c>
    </row>
    <row r="68" spans="1:6" x14ac:dyDescent="0.35">
      <c r="A68" s="20">
        <v>45558</v>
      </c>
      <c r="B68" s="26" t="s">
        <v>35</v>
      </c>
      <c r="C68" s="27">
        <f>D68+E68</f>
        <v>680000</v>
      </c>
      <c r="D68" s="27">
        <v>666666.67000000004</v>
      </c>
      <c r="E68" s="27">
        <v>13333.33</v>
      </c>
      <c r="F68" s="28">
        <f t="shared" si="1"/>
        <v>17291400.904444434</v>
      </c>
    </row>
    <row r="69" spans="1:6" x14ac:dyDescent="0.35">
      <c r="A69" s="20">
        <v>45558</v>
      </c>
      <c r="B69" s="26" t="s">
        <v>24</v>
      </c>
      <c r="C69" s="27">
        <f>D69+E69</f>
        <v>771306.6</v>
      </c>
      <c r="D69" s="27">
        <v>664919.48</v>
      </c>
      <c r="E69" s="27">
        <v>106387.12</v>
      </c>
      <c r="F69" s="28">
        <f t="shared" si="1"/>
        <v>16626481.424444433</v>
      </c>
    </row>
    <row r="70" spans="1:6" x14ac:dyDescent="0.35">
      <c r="A70" s="20">
        <v>45588</v>
      </c>
      <c r="B70" s="26" t="s">
        <v>37</v>
      </c>
      <c r="C70" s="27">
        <f>D70+E70</f>
        <v>680000</v>
      </c>
      <c r="D70" s="27">
        <v>666666.67000000004</v>
      </c>
      <c r="E70" s="27">
        <v>13333.33</v>
      </c>
      <c r="F70" s="28">
        <f t="shared" si="1"/>
        <v>15959814.754444433</v>
      </c>
    </row>
    <row r="71" spans="1:6" x14ac:dyDescent="0.35">
      <c r="A71" s="20">
        <v>45588</v>
      </c>
      <c r="B71" s="26" t="s">
        <v>25</v>
      </c>
      <c r="C71" s="27">
        <f>D71+E71</f>
        <v>771306.6</v>
      </c>
      <c r="D71" s="27">
        <v>664919.48</v>
      </c>
      <c r="E71" s="27">
        <v>106387.12</v>
      </c>
      <c r="F71" s="28">
        <f t="shared" si="1"/>
        <v>15294895.274444433</v>
      </c>
    </row>
    <row r="72" spans="1:6" x14ac:dyDescent="0.35">
      <c r="A72" s="20">
        <v>45590</v>
      </c>
      <c r="B72" s="26" t="s">
        <v>40</v>
      </c>
      <c r="C72" s="27">
        <f>D72+E72</f>
        <v>680000</v>
      </c>
      <c r="D72" s="27">
        <v>666666.67000000004</v>
      </c>
      <c r="E72" s="27">
        <v>13333.33</v>
      </c>
      <c r="F72" s="28">
        <f t="shared" si="1"/>
        <v>14628228.604444433</v>
      </c>
    </row>
    <row r="73" spans="1:6" x14ac:dyDescent="0.35">
      <c r="A73" s="20">
        <v>45590</v>
      </c>
      <c r="B73" s="26" t="s">
        <v>33</v>
      </c>
      <c r="C73" s="26"/>
      <c r="D73" s="27">
        <v>-2000000</v>
      </c>
      <c r="E73" s="27"/>
      <c r="F73" s="28">
        <f t="shared" si="1"/>
        <v>16628228.604444433</v>
      </c>
    </row>
    <row r="74" spans="1:6" x14ac:dyDescent="0.35">
      <c r="A74" s="20">
        <v>45608</v>
      </c>
      <c r="B74" s="26" t="s">
        <v>39</v>
      </c>
      <c r="C74" s="27">
        <f>D74+E74</f>
        <v>771306.6</v>
      </c>
      <c r="D74" s="27">
        <v>664919.48</v>
      </c>
      <c r="E74" s="27">
        <v>106387.12</v>
      </c>
      <c r="F74" s="28">
        <f t="shared" si="1"/>
        <v>15963309.124444433</v>
      </c>
    </row>
    <row r="75" spans="1:6" x14ac:dyDescent="0.35">
      <c r="A75" s="20">
        <v>45608</v>
      </c>
      <c r="B75" s="26" t="s">
        <v>31</v>
      </c>
      <c r="C75" s="26"/>
      <c r="D75" s="27">
        <v>-2030000</v>
      </c>
      <c r="E75" s="26"/>
      <c r="F75" s="28">
        <f t="shared" si="1"/>
        <v>17993309.124444433</v>
      </c>
    </row>
    <row r="76" spans="1:6" x14ac:dyDescent="0.35">
      <c r="A76" s="20">
        <v>45618</v>
      </c>
      <c r="B76" s="26" t="s">
        <v>35</v>
      </c>
      <c r="C76" s="27">
        <f>D76+E76</f>
        <v>680000</v>
      </c>
      <c r="D76" s="27">
        <v>666666.67000000004</v>
      </c>
      <c r="E76" s="27">
        <v>13333.33</v>
      </c>
      <c r="F76" s="28">
        <f t="shared" si="1"/>
        <v>17326642.454444431</v>
      </c>
    </row>
    <row r="77" spans="1:6" x14ac:dyDescent="0.35">
      <c r="A77" s="20">
        <v>45618</v>
      </c>
      <c r="B77" s="26" t="s">
        <v>26</v>
      </c>
      <c r="C77" s="28">
        <f>D77+E77</f>
        <v>869676</v>
      </c>
      <c r="D77" s="30">
        <v>749721</v>
      </c>
      <c r="E77" s="30">
        <v>119955</v>
      </c>
      <c r="F77" s="28">
        <f t="shared" si="1"/>
        <v>16576921.454444431</v>
      </c>
    </row>
    <row r="78" spans="1:6" x14ac:dyDescent="0.35">
      <c r="A78" s="20">
        <v>45646</v>
      </c>
      <c r="B78" s="26" t="s">
        <v>37</v>
      </c>
      <c r="C78" s="27">
        <f>D78+E78</f>
        <v>680000</v>
      </c>
      <c r="D78" s="27">
        <v>666666.67000000004</v>
      </c>
      <c r="E78" s="27">
        <v>13333.33</v>
      </c>
      <c r="F78" s="28">
        <f t="shared" si="1"/>
        <v>15910254.784444431</v>
      </c>
    </row>
    <row r="79" spans="1:6" x14ac:dyDescent="0.35">
      <c r="A79" s="20">
        <v>45646</v>
      </c>
      <c r="B79" s="26" t="s">
        <v>27</v>
      </c>
      <c r="C79" s="28">
        <f>D79+E79</f>
        <v>773009.94</v>
      </c>
      <c r="D79" s="30">
        <v>666387.88</v>
      </c>
      <c r="E79" s="30">
        <v>106622.06</v>
      </c>
      <c r="F79" s="28">
        <f t="shared" si="1"/>
        <v>15243866.90444443</v>
      </c>
    </row>
    <row r="80" spans="1:6" x14ac:dyDescent="0.35">
      <c r="A80" s="20">
        <v>45646</v>
      </c>
      <c r="B80" s="26" t="s">
        <v>40</v>
      </c>
      <c r="C80" s="27">
        <f>D80+E80</f>
        <v>680000</v>
      </c>
      <c r="D80" s="27">
        <v>666666.67000000004</v>
      </c>
      <c r="E80" s="27">
        <v>13333.33</v>
      </c>
      <c r="F80" s="28">
        <f t="shared" si="1"/>
        <v>14577200.23444443</v>
      </c>
    </row>
    <row r="81" spans="1:8" x14ac:dyDescent="0.35">
      <c r="A81" s="20">
        <v>45646</v>
      </c>
      <c r="B81" s="26" t="s">
        <v>33</v>
      </c>
      <c r="C81" s="26"/>
      <c r="D81" s="27">
        <v>-2000000</v>
      </c>
      <c r="E81" s="26"/>
      <c r="F81" s="28">
        <f t="shared" ref="F81:F124" si="2">F80-D81</f>
        <v>16577200.23444443</v>
      </c>
    </row>
    <row r="82" spans="1:8" x14ac:dyDescent="0.35">
      <c r="A82" s="20">
        <v>45680</v>
      </c>
      <c r="B82" s="26" t="s">
        <v>28</v>
      </c>
      <c r="C82" s="28">
        <f>D82+E82</f>
        <v>773009.94</v>
      </c>
      <c r="D82" s="30">
        <v>666387.88</v>
      </c>
      <c r="E82" s="30">
        <v>106622.06</v>
      </c>
      <c r="F82" s="28">
        <f t="shared" si="2"/>
        <v>15910812.354444429</v>
      </c>
    </row>
    <row r="83" spans="1:8" x14ac:dyDescent="0.35">
      <c r="A83" s="20">
        <v>45680</v>
      </c>
      <c r="B83" s="26" t="s">
        <v>35</v>
      </c>
      <c r="C83" s="27">
        <f>D83+E83</f>
        <v>680000</v>
      </c>
      <c r="D83" s="27">
        <v>666666.67000000004</v>
      </c>
      <c r="E83" s="27">
        <v>13333.33</v>
      </c>
      <c r="F83" s="28">
        <f t="shared" si="2"/>
        <v>15244145.684444429</v>
      </c>
    </row>
    <row r="84" spans="1:8" x14ac:dyDescent="0.35">
      <c r="A84" s="20">
        <v>45684</v>
      </c>
      <c r="B84" s="26" t="s">
        <v>31</v>
      </c>
      <c r="C84" s="26"/>
      <c r="D84" s="27">
        <v>-2080000</v>
      </c>
      <c r="E84" s="27"/>
      <c r="F84" s="28">
        <f t="shared" si="2"/>
        <v>17324145.684444427</v>
      </c>
    </row>
    <row r="85" spans="1:8" x14ac:dyDescent="0.35">
      <c r="A85" s="20">
        <v>45709</v>
      </c>
      <c r="B85" s="26" t="s">
        <v>37</v>
      </c>
      <c r="C85" s="27">
        <f>D85+E85</f>
        <v>680000</v>
      </c>
      <c r="D85" s="27">
        <v>666666.67000000004</v>
      </c>
      <c r="E85" s="27">
        <v>13333.33</v>
      </c>
      <c r="F85" s="28">
        <f t="shared" si="2"/>
        <v>16657479.014444428</v>
      </c>
    </row>
    <row r="86" spans="1:8" x14ac:dyDescent="0.35">
      <c r="A86" s="20">
        <v>45709</v>
      </c>
      <c r="B86" s="26" t="s">
        <v>29</v>
      </c>
      <c r="C86" s="27">
        <f>D86+E86</f>
        <v>772889.27</v>
      </c>
      <c r="D86" s="27">
        <v>666283.85</v>
      </c>
      <c r="E86" s="3">
        <v>106605.42</v>
      </c>
      <c r="F86" s="28">
        <f t="shared" si="2"/>
        <v>15991195.164444428</v>
      </c>
    </row>
    <row r="87" spans="1:8" x14ac:dyDescent="0.35">
      <c r="A87" s="20">
        <v>45715</v>
      </c>
      <c r="B87" s="26" t="s">
        <v>40</v>
      </c>
      <c r="C87" s="27">
        <f>D87+E87</f>
        <v>680000</v>
      </c>
      <c r="D87" s="27">
        <v>666666.67000000004</v>
      </c>
      <c r="E87" s="27">
        <v>13333.33</v>
      </c>
      <c r="F87" s="28">
        <f t="shared" si="2"/>
        <v>15324528.494444428</v>
      </c>
    </row>
    <row r="88" spans="1:8" x14ac:dyDescent="0.35">
      <c r="A88" s="20">
        <v>45716</v>
      </c>
      <c r="B88" s="26" t="s">
        <v>33</v>
      </c>
      <c r="C88" s="26"/>
      <c r="D88" s="27">
        <v>-2000000</v>
      </c>
      <c r="E88" s="26"/>
      <c r="F88" s="28">
        <f t="shared" si="2"/>
        <v>17324528.49444443</v>
      </c>
    </row>
    <row r="89" spans="1:8" x14ac:dyDescent="0.35">
      <c r="A89" s="20">
        <v>45737</v>
      </c>
      <c r="B89" s="26" t="s">
        <v>30</v>
      </c>
      <c r="C89" s="27">
        <f>D89+E89</f>
        <v>772889.27</v>
      </c>
      <c r="D89" s="27">
        <v>666283.85</v>
      </c>
      <c r="E89" s="27">
        <v>106605.42</v>
      </c>
      <c r="F89" s="28">
        <f t="shared" si="2"/>
        <v>16658244.64444443</v>
      </c>
    </row>
    <row r="90" spans="1:8" x14ac:dyDescent="0.35">
      <c r="A90" s="20">
        <v>45737</v>
      </c>
      <c r="B90" s="26" t="s">
        <v>35</v>
      </c>
      <c r="C90" s="27">
        <f>D90+E90</f>
        <v>680000</v>
      </c>
      <c r="D90" s="27">
        <v>666666.67000000004</v>
      </c>
      <c r="E90" s="27">
        <v>13333.33</v>
      </c>
      <c r="F90" s="28">
        <f t="shared" si="2"/>
        <v>15991577.97444443</v>
      </c>
      <c r="H90" s="29"/>
    </row>
    <row r="91" spans="1:8" x14ac:dyDescent="0.35">
      <c r="A91" s="20">
        <v>45770</v>
      </c>
      <c r="B91" s="26" t="s">
        <v>18</v>
      </c>
      <c r="C91" s="27">
        <f>D91+E91</f>
        <v>772889.27</v>
      </c>
      <c r="D91" s="27">
        <v>666283.85</v>
      </c>
      <c r="E91" s="27">
        <v>106605.42</v>
      </c>
      <c r="F91" s="28">
        <f t="shared" si="2"/>
        <v>15325294.124444431</v>
      </c>
    </row>
    <row r="92" spans="1:8" x14ac:dyDescent="0.35">
      <c r="A92" s="20">
        <v>45770</v>
      </c>
      <c r="B92" s="26" t="s">
        <v>37</v>
      </c>
      <c r="C92" s="27">
        <f>D92+E92</f>
        <v>680000</v>
      </c>
      <c r="D92" s="27">
        <v>666666.67000000004</v>
      </c>
      <c r="E92" s="27">
        <v>13333.33</v>
      </c>
      <c r="F92" s="28">
        <f t="shared" si="2"/>
        <v>14658627.454444431</v>
      </c>
    </row>
    <row r="93" spans="1:8" x14ac:dyDescent="0.35">
      <c r="A93" s="20">
        <v>45784</v>
      </c>
      <c r="B93" s="26" t="s">
        <v>31</v>
      </c>
      <c r="C93" s="26"/>
      <c r="D93" s="27">
        <v>-2000000</v>
      </c>
      <c r="E93" s="27"/>
      <c r="F93" s="28">
        <f t="shared" si="2"/>
        <v>16658627.454444431</v>
      </c>
    </row>
    <row r="94" spans="1:8" x14ac:dyDescent="0.35">
      <c r="A94" s="20">
        <v>45800</v>
      </c>
      <c r="B94" s="26" t="s">
        <v>38</v>
      </c>
      <c r="C94" s="27">
        <f>D94+E94</f>
        <v>680000</v>
      </c>
      <c r="D94" s="27">
        <v>666666.67000000004</v>
      </c>
      <c r="E94" s="27">
        <v>13333.33</v>
      </c>
      <c r="F94" s="28">
        <f t="shared" si="2"/>
        <v>15991960.784444431</v>
      </c>
    </row>
    <row r="95" spans="1:8" x14ac:dyDescent="0.35">
      <c r="A95" s="20">
        <v>45800</v>
      </c>
      <c r="B95" s="26" t="s">
        <v>19</v>
      </c>
      <c r="C95" s="27">
        <f>D95+E95</f>
        <v>772944.78</v>
      </c>
      <c r="D95" s="27">
        <v>666331.71</v>
      </c>
      <c r="E95" s="27">
        <v>106613.07</v>
      </c>
      <c r="F95" s="28">
        <f t="shared" si="2"/>
        <v>15325629.074444432</v>
      </c>
    </row>
    <row r="96" spans="1:8" x14ac:dyDescent="0.35">
      <c r="A96" s="20">
        <v>45805</v>
      </c>
      <c r="B96" s="26" t="s">
        <v>33</v>
      </c>
      <c r="C96" s="26"/>
      <c r="D96" s="27">
        <v>-2000000</v>
      </c>
      <c r="E96" s="27">
        <v>106613.07</v>
      </c>
      <c r="F96" s="28">
        <f t="shared" si="2"/>
        <v>17325629.074444432</v>
      </c>
    </row>
    <row r="97" spans="1:6" x14ac:dyDescent="0.35">
      <c r="A97" s="20">
        <v>45831</v>
      </c>
      <c r="B97" s="26" t="s">
        <v>20</v>
      </c>
      <c r="C97" s="27">
        <f>D97+E97</f>
        <v>772944.78</v>
      </c>
      <c r="D97" s="27">
        <v>666331.71</v>
      </c>
      <c r="E97" s="27">
        <v>106613.07</v>
      </c>
      <c r="F97" s="28">
        <f t="shared" si="2"/>
        <v>16659297.364444431</v>
      </c>
    </row>
    <row r="98" spans="1:6" x14ac:dyDescent="0.35">
      <c r="A98" s="20">
        <v>45831</v>
      </c>
      <c r="B98" s="26" t="s">
        <v>35</v>
      </c>
      <c r="C98" s="27">
        <f>D98+E98</f>
        <v>680000</v>
      </c>
      <c r="D98" s="27">
        <v>666666.67000000004</v>
      </c>
      <c r="E98" s="27">
        <v>13333.33</v>
      </c>
      <c r="F98" s="28">
        <f t="shared" si="2"/>
        <v>15992630.694444431</v>
      </c>
    </row>
    <row r="99" spans="1:6" x14ac:dyDescent="0.35">
      <c r="A99" s="20">
        <v>45861</v>
      </c>
      <c r="B99" s="26" t="s">
        <v>21</v>
      </c>
      <c r="C99" s="27">
        <f>D99+E99</f>
        <v>772944.78</v>
      </c>
      <c r="D99" s="27">
        <v>666331.71</v>
      </c>
      <c r="E99" s="27">
        <v>106613.07</v>
      </c>
      <c r="F99" s="28">
        <f t="shared" si="2"/>
        <v>15326298.984444432</v>
      </c>
    </row>
    <row r="100" spans="1:6" x14ac:dyDescent="0.35">
      <c r="A100" s="20">
        <v>45861</v>
      </c>
      <c r="B100" s="26" t="s">
        <v>37</v>
      </c>
      <c r="C100" s="27">
        <f>D100+E100</f>
        <v>680000</v>
      </c>
      <c r="D100" s="27">
        <v>666666.67000000004</v>
      </c>
      <c r="E100" s="27">
        <v>13333.33</v>
      </c>
      <c r="F100" s="28">
        <f t="shared" si="2"/>
        <v>14659632.314444432</v>
      </c>
    </row>
    <row r="101" spans="1:6" x14ac:dyDescent="0.35">
      <c r="A101" s="20">
        <v>45873</v>
      </c>
      <c r="B101" s="26" t="s">
        <v>38</v>
      </c>
      <c r="C101" s="27">
        <f>D101+E101</f>
        <v>680000</v>
      </c>
      <c r="D101" s="27">
        <v>666666.67000000004</v>
      </c>
      <c r="E101" s="27">
        <v>13333.33</v>
      </c>
      <c r="F101" s="28">
        <f t="shared" si="2"/>
        <v>13992965.644444432</v>
      </c>
    </row>
    <row r="102" spans="1:6" x14ac:dyDescent="0.35">
      <c r="A102" s="20">
        <v>45874</v>
      </c>
      <c r="B102" s="26" t="s">
        <v>33</v>
      </c>
      <c r="C102" s="26"/>
      <c r="D102" s="27">
        <v>-2000000</v>
      </c>
      <c r="E102" s="26"/>
      <c r="F102" s="28">
        <f t="shared" si="2"/>
        <v>15992965.644444432</v>
      </c>
    </row>
    <row r="103" spans="1:6" x14ac:dyDescent="0.35">
      <c r="A103" s="20">
        <v>45891</v>
      </c>
      <c r="B103" s="26" t="s">
        <v>22</v>
      </c>
      <c r="C103" s="27">
        <f t="shared" ref="C103:C108" si="3">D103+E103</f>
        <v>772944.78</v>
      </c>
      <c r="D103" s="27">
        <v>666331.71</v>
      </c>
      <c r="E103" s="27">
        <v>106613.07</v>
      </c>
      <c r="F103" s="28">
        <f t="shared" si="2"/>
        <v>15326633.934444431</v>
      </c>
    </row>
    <row r="104" spans="1:6" x14ac:dyDescent="0.35">
      <c r="A104" s="20">
        <v>45891</v>
      </c>
      <c r="B104" s="26" t="s">
        <v>35</v>
      </c>
      <c r="C104" s="27">
        <f t="shared" si="3"/>
        <v>680000</v>
      </c>
      <c r="D104" s="27">
        <v>666666.67000000004</v>
      </c>
      <c r="E104" s="27">
        <v>13333.33</v>
      </c>
      <c r="F104" s="28">
        <f t="shared" si="2"/>
        <v>14659967.264444431</v>
      </c>
    </row>
    <row r="105" spans="1:6" x14ac:dyDescent="0.35">
      <c r="A105" s="20">
        <v>45897</v>
      </c>
      <c r="B105" s="26" t="s">
        <v>31</v>
      </c>
      <c r="C105" s="27">
        <f t="shared" si="3"/>
        <v>-2600000</v>
      </c>
      <c r="D105" s="27">
        <v>-2600000</v>
      </c>
      <c r="E105" s="27"/>
      <c r="F105" s="28">
        <f t="shared" si="2"/>
        <v>17259967.264444433</v>
      </c>
    </row>
    <row r="106" spans="1:6" x14ac:dyDescent="0.35">
      <c r="A106" s="20">
        <v>45923</v>
      </c>
      <c r="B106" s="26" t="s">
        <v>24</v>
      </c>
      <c r="C106" s="27">
        <f t="shared" si="3"/>
        <v>769787.31</v>
      </c>
      <c r="D106">
        <v>663609.75</v>
      </c>
      <c r="E106">
        <v>106177.56</v>
      </c>
      <c r="F106" s="28">
        <f t="shared" si="2"/>
        <v>16596357.514444433</v>
      </c>
    </row>
    <row r="107" spans="1:6" x14ac:dyDescent="0.35">
      <c r="A107" s="31">
        <v>45923</v>
      </c>
      <c r="B107" s="32" t="s">
        <v>37</v>
      </c>
      <c r="C107" s="33">
        <f t="shared" si="3"/>
        <v>680000</v>
      </c>
      <c r="D107" s="33">
        <v>666666.67000000004</v>
      </c>
      <c r="E107" s="33">
        <v>13333.33</v>
      </c>
      <c r="F107" s="34">
        <f t="shared" si="2"/>
        <v>15929690.844444433</v>
      </c>
    </row>
    <row r="108" spans="1:6" x14ac:dyDescent="0.35">
      <c r="A108" s="20">
        <v>45925</v>
      </c>
      <c r="B108" s="26" t="s">
        <v>38</v>
      </c>
      <c r="C108" s="27">
        <f t="shared" si="3"/>
        <v>680000</v>
      </c>
      <c r="D108" s="27">
        <v>666666.67000000004</v>
      </c>
      <c r="E108" s="27">
        <v>13333.33</v>
      </c>
      <c r="F108" s="28">
        <f t="shared" si="2"/>
        <v>15263024.174444433</v>
      </c>
    </row>
    <row r="109" spans="1:6" x14ac:dyDescent="0.35">
      <c r="A109" s="20">
        <v>45926</v>
      </c>
      <c r="B109" s="26" t="s">
        <v>33</v>
      </c>
      <c r="C109" s="26"/>
      <c r="D109" s="27">
        <v>-2000000</v>
      </c>
      <c r="E109" s="26"/>
      <c r="F109" s="28">
        <f t="shared" si="2"/>
        <v>17263024.174444433</v>
      </c>
    </row>
    <row r="110" spans="1:6" x14ac:dyDescent="0.35">
      <c r="A110" s="20">
        <v>45953</v>
      </c>
      <c r="B110" s="26" t="s">
        <v>25</v>
      </c>
      <c r="C110" s="27">
        <f>D110+E110</f>
        <v>769787.31</v>
      </c>
      <c r="D110" s="26">
        <v>663609.75</v>
      </c>
      <c r="E110" s="26">
        <v>106177.56</v>
      </c>
      <c r="F110" s="28">
        <f t="shared" si="2"/>
        <v>16599414.424444433</v>
      </c>
    </row>
    <row r="111" spans="1:6" x14ac:dyDescent="0.35">
      <c r="A111" s="20">
        <v>45953</v>
      </c>
      <c r="B111" s="26" t="s">
        <v>35</v>
      </c>
      <c r="C111" s="27">
        <f>D111+E111</f>
        <v>680000</v>
      </c>
      <c r="D111" s="27">
        <v>666666.67000000004</v>
      </c>
      <c r="E111" s="27">
        <v>13333.33</v>
      </c>
      <c r="F111" s="28">
        <f t="shared" si="2"/>
        <v>15932747.754444433</v>
      </c>
    </row>
    <row r="112" spans="1:6" x14ac:dyDescent="0.35">
      <c r="A112" s="20">
        <v>45982</v>
      </c>
      <c r="B112" s="26" t="s">
        <v>26</v>
      </c>
      <c r="C112" s="27">
        <f>D112+E112</f>
        <v>769787.31</v>
      </c>
      <c r="D112" s="26">
        <v>663609.75</v>
      </c>
      <c r="E112" s="26">
        <v>106177.56</v>
      </c>
      <c r="F112" s="28">
        <f t="shared" si="2"/>
        <v>15269138.004444433</v>
      </c>
    </row>
    <row r="113" spans="1:6" x14ac:dyDescent="0.35">
      <c r="A113" s="20">
        <v>45982</v>
      </c>
      <c r="B113" s="26" t="s">
        <v>37</v>
      </c>
      <c r="C113" s="27">
        <f>D113+E113</f>
        <v>680000</v>
      </c>
      <c r="D113" s="27">
        <v>666666.67000000004</v>
      </c>
      <c r="E113" s="27">
        <v>13333.33</v>
      </c>
      <c r="F113" s="28">
        <f t="shared" si="2"/>
        <v>14602471.334444433</v>
      </c>
    </row>
    <row r="114" spans="1:6" x14ac:dyDescent="0.35">
      <c r="A114" s="20">
        <v>45982</v>
      </c>
      <c r="B114" s="26" t="s">
        <v>31</v>
      </c>
      <c r="C114" s="27"/>
      <c r="D114" s="27">
        <v>-6064195</v>
      </c>
      <c r="E114" s="27"/>
      <c r="F114" s="28">
        <f t="shared" si="2"/>
        <v>20666666.334444433</v>
      </c>
    </row>
    <row r="115" spans="1:6" x14ac:dyDescent="0.35">
      <c r="A115" s="20">
        <v>46010</v>
      </c>
      <c r="B115" s="26" t="s">
        <v>38</v>
      </c>
      <c r="C115" s="27">
        <f>D115+E115</f>
        <v>680000</v>
      </c>
      <c r="D115" s="27">
        <v>666666.67000000004</v>
      </c>
      <c r="E115" s="27">
        <v>13333.33</v>
      </c>
      <c r="F115" s="28">
        <f t="shared" si="2"/>
        <v>19999999.664444432</v>
      </c>
    </row>
    <row r="116" spans="1:6" x14ac:dyDescent="0.35">
      <c r="A116" s="20">
        <v>46010</v>
      </c>
      <c r="B116" s="26" t="s">
        <v>27</v>
      </c>
      <c r="C116" s="27">
        <f>D116+E116</f>
        <v>966666.65999999992</v>
      </c>
      <c r="D116" s="27">
        <v>833333.33</v>
      </c>
      <c r="E116" s="27">
        <v>133333.32999999999</v>
      </c>
      <c r="F116" s="28">
        <f t="shared" si="2"/>
        <v>19166666.334444433</v>
      </c>
    </row>
    <row r="117" spans="1:6" x14ac:dyDescent="0.35">
      <c r="A117" s="20">
        <v>46014</v>
      </c>
      <c r="B117" s="26" t="s">
        <v>33</v>
      </c>
      <c r="C117" s="26"/>
      <c r="D117" s="27">
        <v>-2000000</v>
      </c>
      <c r="E117" s="26"/>
      <c r="F117" s="28">
        <f t="shared" si="2"/>
        <v>21166666.334444433</v>
      </c>
    </row>
    <row r="118" spans="1:6" x14ac:dyDescent="0.35">
      <c r="A118" s="20">
        <v>46045</v>
      </c>
      <c r="B118" s="26" t="s">
        <v>35</v>
      </c>
      <c r="C118" s="27">
        <f>D118+E118</f>
        <v>680000</v>
      </c>
      <c r="D118" s="27">
        <v>666666.67000000004</v>
      </c>
      <c r="E118" s="27">
        <v>13333.33</v>
      </c>
      <c r="F118" s="28">
        <f t="shared" si="2"/>
        <v>20499999.664444432</v>
      </c>
    </row>
    <row r="119" spans="1:6" x14ac:dyDescent="0.35">
      <c r="A119" s="20">
        <v>46045</v>
      </c>
      <c r="B119" s="26" t="s">
        <v>28</v>
      </c>
      <c r="C119" s="27">
        <f>D119+E119</f>
        <v>966666.65999999992</v>
      </c>
      <c r="D119" s="27">
        <v>833333.33</v>
      </c>
      <c r="E119" s="27">
        <v>133333.32999999999</v>
      </c>
      <c r="F119" s="28">
        <f t="shared" si="2"/>
        <v>19666666.334444433</v>
      </c>
    </row>
    <row r="120" spans="1:6" x14ac:dyDescent="0.35">
      <c r="A120" s="20">
        <v>46076</v>
      </c>
      <c r="B120" s="26" t="s">
        <v>37</v>
      </c>
      <c r="C120" s="27">
        <f>D120+E120</f>
        <v>680000</v>
      </c>
      <c r="D120" s="27">
        <v>666666.67000000004</v>
      </c>
      <c r="E120" s="27">
        <v>13333.33</v>
      </c>
      <c r="F120" s="28">
        <f t="shared" si="2"/>
        <v>18999999.664444432</v>
      </c>
    </row>
    <row r="121" spans="1:6" x14ac:dyDescent="0.35">
      <c r="A121" s="20">
        <v>46076</v>
      </c>
      <c r="B121" s="26" t="s">
        <v>29</v>
      </c>
      <c r="C121" s="27">
        <f>D121+E121</f>
        <v>966666.65999999992</v>
      </c>
      <c r="D121" s="27">
        <v>833333.33</v>
      </c>
      <c r="E121" s="27">
        <v>133333.32999999999</v>
      </c>
      <c r="F121" s="28">
        <f t="shared" si="2"/>
        <v>18166666.334444433</v>
      </c>
    </row>
    <row r="122" spans="1:6" x14ac:dyDescent="0.35">
      <c r="A122" s="20">
        <v>46076</v>
      </c>
      <c r="B122" s="26" t="s">
        <v>38</v>
      </c>
      <c r="C122" s="27">
        <f>D122+E122</f>
        <v>680000</v>
      </c>
      <c r="D122" s="27">
        <v>666666.67000000004</v>
      </c>
      <c r="E122" s="27">
        <v>13333.33</v>
      </c>
      <c r="F122" s="28">
        <f t="shared" si="2"/>
        <v>17499999.664444432</v>
      </c>
    </row>
    <row r="123" spans="1:6" x14ac:dyDescent="0.35">
      <c r="A123" s="20">
        <v>46078</v>
      </c>
      <c r="B123" s="26" t="s">
        <v>41</v>
      </c>
      <c r="C123" s="26"/>
      <c r="D123" s="27">
        <v>-2500000</v>
      </c>
      <c r="E123" s="26"/>
      <c r="F123" s="28">
        <f t="shared" si="2"/>
        <v>19999999.664444432</v>
      </c>
    </row>
    <row r="124" spans="1:6" x14ac:dyDescent="0.35">
      <c r="A124" s="26"/>
      <c r="B124" s="26"/>
      <c r="C124" s="26"/>
      <c r="D124" s="26"/>
      <c r="E124" s="26"/>
      <c r="F124" s="28">
        <f t="shared" si="2"/>
        <v>19999999.664444432</v>
      </c>
    </row>
  </sheetData>
  <mergeCells count="1"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LEKU DENNIS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2026-03-20T10:18:43Z</dcterms:created>
  <dcterms:modified xsi:type="dcterms:W3CDTF">2026-03-20T10:20:00Z</dcterms:modified>
</cp:coreProperties>
</file>