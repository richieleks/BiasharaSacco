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ni Archie Emmanuel\OneDrive\Desktop\"/>
    </mc:Choice>
  </mc:AlternateContent>
  <xr:revisionPtr revIDLastSave="0" documentId="8_{72E1CFB9-989B-4475-9484-B32B0B4FB5A9}" xr6:coauthVersionLast="47" xr6:coauthVersionMax="47" xr10:uidLastSave="{00000000-0000-0000-0000-000000000000}"/>
  <bookViews>
    <workbookView xWindow="-120" yWindow="-120" windowWidth="29040" windowHeight="15840" xr2:uid="{9C06C20F-99B1-4214-8399-29F8EF21567D}"/>
  </bookViews>
  <sheets>
    <sheet name="SAV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7" i="1" l="1"/>
  <c r="C152" i="1"/>
  <c r="C145" i="1"/>
  <c r="C140" i="1"/>
  <c r="C135" i="1"/>
  <c r="C129" i="1"/>
  <c r="C124" i="1"/>
  <c r="C118" i="1"/>
  <c r="C113" i="1"/>
  <c r="C108" i="1"/>
  <c r="C103" i="1"/>
  <c r="C99" i="1"/>
  <c r="C93" i="1"/>
  <c r="C89" i="1"/>
  <c r="C82" i="1"/>
  <c r="C77" i="1"/>
  <c r="C72" i="1"/>
  <c r="C66" i="1"/>
  <c r="C61" i="1"/>
  <c r="C56" i="1"/>
  <c r="C50" i="1"/>
  <c r="C44" i="1"/>
  <c r="C37" i="1"/>
  <c r="C29" i="1"/>
  <c r="C12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" i="1"/>
</calcChain>
</file>

<file path=xl/sharedStrings.xml><?xml version="1.0" encoding="utf-8"?>
<sst xmlns="http://schemas.openxmlformats.org/spreadsheetml/2006/main" count="165" uniqueCount="23">
  <si>
    <t xml:space="preserve">ACCOUNT NAME: </t>
  </si>
  <si>
    <t>LEKU DENIS</t>
  </si>
  <si>
    <t>CLOSING BALANCE</t>
  </si>
  <si>
    <t>ACCOUNT NUMBER:</t>
  </si>
  <si>
    <t>POSTING DATE</t>
  </si>
  <si>
    <t>DETAILS</t>
  </si>
  <si>
    <t>DEBIT AMOUNT</t>
  </si>
  <si>
    <t>CREDIT AMOUNT</t>
  </si>
  <si>
    <t>BALANCE</t>
  </si>
  <si>
    <t>MONTHLY SAVINGS</t>
  </si>
  <si>
    <t>Shares and Application fees</t>
  </si>
  <si>
    <t>Loan disbursed</t>
  </si>
  <si>
    <t>Loan acceptance</t>
  </si>
  <si>
    <t>LOAN ACCEPTANCE FEE</t>
  </si>
  <si>
    <t>LOAN APPLICATION FEE</t>
  </si>
  <si>
    <t>MONTHLY SAVINGS_One off Transfer</t>
  </si>
  <si>
    <t>SAVINGS - TRANSFER</t>
  </si>
  <si>
    <t>Loan disbursed - special</t>
  </si>
  <si>
    <t>Savings Transfer</t>
  </si>
  <si>
    <t xml:space="preserve">Loan disbursed </t>
  </si>
  <si>
    <t>Loan repayment</t>
  </si>
  <si>
    <t>Loan disbursed - topup</t>
  </si>
  <si>
    <t>MONTHLY SAVINGS -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</si>
</sst>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sz val="12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43" fontId="2" fillId="0" borderId="0" xfId="1" applyFont="1"/>
    <xf numFmtId="164" fontId="0" fillId="0" borderId="0" xfId="1" applyNumberFormat="1" applyFont="1"/>
    <xf numFmtId="0" fontId="2" fillId="2" borderId="2" xfId="0" applyFont="1" applyFill="1" applyBorder="1"/>
    <xf numFmtId="15" fontId="0" fillId="0" borderId="2" xfId="0" applyNumberFormat="1" applyBorder="1"/>
    <xf numFmtId="0" fontId="3" fillId="0" borderId="2" xfId="0" applyFont="1" applyBorder="1"/>
    <xf numFmtId="43" fontId="0" fillId="0" borderId="2" xfId="1" applyFont="1" applyBorder="1"/>
    <xf numFmtId="43" fontId="4" fillId="0" borderId="2" xfId="2" applyFont="1" applyBorder="1"/>
    <xf numFmtId="0" fontId="0" fillId="0" borderId="2" xfId="0" applyBorder="1"/>
    <xf numFmtId="164" fontId="0" fillId="0" borderId="0" xfId="0" applyNumberFormat="1"/>
    <xf numFmtId="15" fontId="0" fillId="0" borderId="0" xfId="0" applyNumberFormat="1"/>
    <xf numFmtId="0" fontId="0" fillId="0" borderId="3" xfId="0" applyBorder="1"/>
    <xf numFmtId="43" fontId="0" fillId="0" borderId="3" xfId="1" applyFont="1" applyBorder="1"/>
    <xf numFmtId="43" fontId="0" fillId="0" borderId="0" xfId="1" applyFont="1"/>
  </cellXfs>
  <cellStyles count="3">
    <cellStyle name="Comma" xfId="1" builtinId="3"/>
    <cellStyle name="Comma 2 3" xfId="2" xr:uid="{E70ED8BA-D4A7-4F82-B58B-782FDB4A473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12FC1-04EE-4D26-98A2-0BE15EA06A85}">
  <dimension ref="A1:H169"/>
  <sheetViews>
    <sheetView tabSelected="1" workbookViewId="0">
      <selection activeCell="C159" sqref="C159"/>
    </sheetView>
  </sheetViews>
  <sheetFormatPr defaultColWidth="9.125" defaultRowHeight="14.25"/>
  <cols>
    <col min="1" max="1" width="19.125" bestFit="1" customWidth="1"/>
    <col min="2" max="2" width="35" customWidth="1"/>
    <col min="3" max="3" width="16.125" style="15" bestFit="1" customWidth="1"/>
    <col min="4" max="4" width="19.125" style="15" bestFit="1" customWidth="1"/>
    <col min="5" max="5" width="17" style="15" customWidth="1"/>
    <col min="7" max="7" width="12.625" bestFit="1" customWidth="1"/>
    <col min="8" max="8" width="12.625" style="4" bestFit="1" customWidth="1"/>
  </cols>
  <sheetData>
    <row r="1" spans="1:8" ht="15">
      <c r="A1" s="1" t="s">
        <v>0</v>
      </c>
      <c r="B1" s="2" t="s">
        <v>1</v>
      </c>
      <c r="C1" s="3"/>
      <c r="D1" s="3" t="s">
        <v>2</v>
      </c>
      <c r="E1" s="3">
        <f>SUM(D4:D1098)-SUM(C4:C1098)</f>
        <v>10749867.325000003</v>
      </c>
    </row>
    <row r="2" spans="1:8" ht="15">
      <c r="A2" s="1" t="s">
        <v>3</v>
      </c>
      <c r="B2" s="5">
        <v>2293720357</v>
      </c>
      <c r="C2" s="3"/>
      <c r="D2" s="3"/>
      <c r="E2" s="3"/>
    </row>
    <row r="3" spans="1:8" ht="15">
      <c r="A3" s="1" t="s">
        <v>4</v>
      </c>
      <c r="B3" s="1" t="s">
        <v>5</v>
      </c>
      <c r="C3" s="3" t="s">
        <v>6</v>
      </c>
      <c r="D3" s="3" t="s">
        <v>7</v>
      </c>
      <c r="E3" s="3" t="s">
        <v>8</v>
      </c>
    </row>
    <row r="4" spans="1:8">
      <c r="A4" s="6">
        <v>44551</v>
      </c>
      <c r="B4" s="7" t="s">
        <v>9</v>
      </c>
      <c r="C4" s="8"/>
      <c r="D4" s="8">
        <v>185000</v>
      </c>
      <c r="E4" s="8">
        <f>D4-C4</f>
        <v>185000</v>
      </c>
    </row>
    <row r="5" spans="1:8" ht="15.75">
      <c r="A5" s="6">
        <v>44585</v>
      </c>
      <c r="B5" s="7" t="s">
        <v>9</v>
      </c>
      <c r="C5" s="9"/>
      <c r="D5" s="8">
        <v>150000</v>
      </c>
      <c r="E5" s="8">
        <f>E4+D5-C5</f>
        <v>335000</v>
      </c>
    </row>
    <row r="6" spans="1:8">
      <c r="A6" s="6">
        <v>44221</v>
      </c>
      <c r="B6" s="10" t="s">
        <v>10</v>
      </c>
      <c r="C6" s="8">
        <v>35000</v>
      </c>
      <c r="D6" s="8"/>
      <c r="E6" s="8">
        <f t="shared" ref="E6:E69" si="0">E5+D6-C6</f>
        <v>300000</v>
      </c>
    </row>
    <row r="7" spans="1:8">
      <c r="A7" s="6">
        <v>44616</v>
      </c>
      <c r="B7" s="7" t="s">
        <v>9</v>
      </c>
      <c r="C7" s="8"/>
      <c r="D7" s="8">
        <v>150000</v>
      </c>
      <c r="E7" s="8">
        <f t="shared" si="0"/>
        <v>450000</v>
      </c>
      <c r="H7"/>
    </row>
    <row r="8" spans="1:8">
      <c r="A8" s="6">
        <v>44644</v>
      </c>
      <c r="B8" s="7" t="s">
        <v>9</v>
      </c>
      <c r="C8" s="8"/>
      <c r="D8" s="8">
        <v>150000</v>
      </c>
      <c r="E8" s="8">
        <f t="shared" si="0"/>
        <v>600000</v>
      </c>
    </row>
    <row r="9" spans="1:8">
      <c r="A9" s="6">
        <v>44656</v>
      </c>
      <c r="B9" s="10" t="s">
        <v>11</v>
      </c>
      <c r="C9" s="8"/>
      <c r="D9" s="8">
        <v>1500000</v>
      </c>
      <c r="E9" s="8">
        <f t="shared" si="0"/>
        <v>2100000</v>
      </c>
    </row>
    <row r="10" spans="1:8">
      <c r="A10" s="6">
        <v>44656</v>
      </c>
      <c r="B10" s="10" t="s">
        <v>12</v>
      </c>
      <c r="C10" s="8">
        <v>1500000</v>
      </c>
      <c r="D10" s="8"/>
      <c r="E10" s="8">
        <f t="shared" si="0"/>
        <v>600000</v>
      </c>
    </row>
    <row r="11" spans="1:8">
      <c r="A11" s="6">
        <v>44656</v>
      </c>
      <c r="B11" s="10" t="s">
        <v>13</v>
      </c>
      <c r="C11" s="8">
        <v>2000</v>
      </c>
      <c r="D11" s="8"/>
      <c r="E11" s="8">
        <f t="shared" si="0"/>
        <v>598000</v>
      </c>
    </row>
    <row r="12" spans="1:8">
      <c r="A12" s="6">
        <v>44656</v>
      </c>
      <c r="B12" s="10" t="s">
        <v>14</v>
      </c>
      <c r="C12" s="8">
        <f>C10*0.5%</f>
        <v>7500</v>
      </c>
      <c r="D12" s="8"/>
      <c r="E12" s="8">
        <f t="shared" si="0"/>
        <v>590500</v>
      </c>
    </row>
    <row r="13" spans="1:8">
      <c r="A13" s="6">
        <v>44677</v>
      </c>
      <c r="B13" s="7" t="s">
        <v>9</v>
      </c>
      <c r="C13" s="8"/>
      <c r="D13" s="8">
        <v>150000</v>
      </c>
      <c r="E13" s="8">
        <f t="shared" si="0"/>
        <v>740500</v>
      </c>
    </row>
    <row r="14" spans="1:8">
      <c r="A14" s="6">
        <v>44704</v>
      </c>
      <c r="B14" s="7" t="s">
        <v>9</v>
      </c>
      <c r="C14" s="8"/>
      <c r="D14" s="8">
        <v>150000</v>
      </c>
      <c r="E14" s="8">
        <f t="shared" si="0"/>
        <v>890500</v>
      </c>
    </row>
    <row r="15" spans="1:8">
      <c r="A15" s="6">
        <v>44737</v>
      </c>
      <c r="B15" s="7" t="s">
        <v>9</v>
      </c>
      <c r="C15" s="8"/>
      <c r="D15" s="8">
        <v>150000</v>
      </c>
      <c r="E15" s="8">
        <f t="shared" si="0"/>
        <v>1040500</v>
      </c>
    </row>
    <row r="16" spans="1:8">
      <c r="A16" s="6">
        <v>44764</v>
      </c>
      <c r="B16" s="10" t="s">
        <v>9</v>
      </c>
      <c r="C16" s="8"/>
      <c r="D16" s="8">
        <v>150000</v>
      </c>
      <c r="E16" s="8">
        <f t="shared" si="0"/>
        <v>1190500</v>
      </c>
    </row>
    <row r="17" spans="1:7">
      <c r="A17" s="6">
        <v>44797</v>
      </c>
      <c r="B17" s="10" t="s">
        <v>9</v>
      </c>
      <c r="C17" s="8"/>
      <c r="D17" s="8">
        <v>150000</v>
      </c>
      <c r="E17" s="8">
        <f t="shared" si="0"/>
        <v>1340500</v>
      </c>
    </row>
    <row r="18" spans="1:7">
      <c r="A18" s="6">
        <v>44819</v>
      </c>
      <c r="B18" s="10" t="s">
        <v>15</v>
      </c>
      <c r="C18" s="8"/>
      <c r="D18" s="8">
        <v>1000000</v>
      </c>
      <c r="E18" s="8">
        <f t="shared" si="0"/>
        <v>2340500</v>
      </c>
    </row>
    <row r="19" spans="1:7">
      <c r="A19" s="6">
        <v>44827</v>
      </c>
      <c r="B19" s="10" t="s">
        <v>9</v>
      </c>
      <c r="C19" s="8"/>
      <c r="D19" s="8">
        <v>150000</v>
      </c>
      <c r="E19" s="8">
        <f t="shared" si="0"/>
        <v>2490500</v>
      </c>
      <c r="G19" s="4"/>
    </row>
    <row r="20" spans="1:7">
      <c r="A20" s="6">
        <v>44855</v>
      </c>
      <c r="B20" s="10" t="s">
        <v>9</v>
      </c>
      <c r="C20" s="8"/>
      <c r="D20" s="8">
        <v>150000</v>
      </c>
      <c r="E20" s="8">
        <f t="shared" si="0"/>
        <v>2640500</v>
      </c>
      <c r="G20" s="4"/>
    </row>
    <row r="21" spans="1:7">
      <c r="A21" s="6">
        <v>44888</v>
      </c>
      <c r="B21" s="10" t="s">
        <v>9</v>
      </c>
      <c r="C21" s="8"/>
      <c r="D21" s="8">
        <v>150000</v>
      </c>
      <c r="E21" s="8">
        <f t="shared" si="0"/>
        <v>2790500</v>
      </c>
      <c r="G21" s="11"/>
    </row>
    <row r="22" spans="1:7">
      <c r="A22" s="6">
        <v>44915</v>
      </c>
      <c r="B22" s="10" t="s">
        <v>9</v>
      </c>
      <c r="C22" s="8"/>
      <c r="D22" s="8">
        <v>150000</v>
      </c>
      <c r="E22" s="8">
        <f t="shared" si="0"/>
        <v>2940500</v>
      </c>
    </row>
    <row r="23" spans="1:7">
      <c r="A23" s="6">
        <v>44949</v>
      </c>
      <c r="B23" s="10" t="s">
        <v>9</v>
      </c>
      <c r="C23" s="8"/>
      <c r="D23" s="8">
        <v>150000</v>
      </c>
      <c r="E23" s="8">
        <f t="shared" si="0"/>
        <v>3090500</v>
      </c>
    </row>
    <row r="24" spans="1:7">
      <c r="A24" s="6">
        <v>44980</v>
      </c>
      <c r="B24" s="10" t="s">
        <v>9</v>
      </c>
      <c r="C24" s="8"/>
      <c r="D24" s="8">
        <v>150000</v>
      </c>
      <c r="E24" s="8">
        <f t="shared" si="0"/>
        <v>3240500</v>
      </c>
    </row>
    <row r="25" spans="1:7">
      <c r="A25" s="6">
        <v>45008</v>
      </c>
      <c r="B25" s="10" t="s">
        <v>9</v>
      </c>
      <c r="C25" s="8"/>
      <c r="D25" s="8">
        <v>150000</v>
      </c>
      <c r="E25" s="8">
        <f t="shared" si="0"/>
        <v>3390500</v>
      </c>
    </row>
    <row r="26" spans="1:7">
      <c r="A26" s="6">
        <v>45034</v>
      </c>
      <c r="B26" s="10" t="s">
        <v>11</v>
      </c>
      <c r="C26" s="8"/>
      <c r="D26" s="8">
        <v>4000000</v>
      </c>
      <c r="E26" s="8">
        <f t="shared" si="0"/>
        <v>7390500</v>
      </c>
    </row>
    <row r="27" spans="1:7">
      <c r="A27" s="6">
        <v>45034</v>
      </c>
      <c r="B27" s="10" t="s">
        <v>12</v>
      </c>
      <c r="C27" s="8">
        <v>4000000</v>
      </c>
      <c r="D27" s="8"/>
      <c r="E27" s="8">
        <f t="shared" si="0"/>
        <v>3390500</v>
      </c>
    </row>
    <row r="28" spans="1:7">
      <c r="A28" s="6">
        <v>45034</v>
      </c>
      <c r="B28" s="10" t="s">
        <v>13</v>
      </c>
      <c r="C28" s="8">
        <v>2000</v>
      </c>
      <c r="D28" s="8"/>
      <c r="E28" s="8">
        <f t="shared" si="0"/>
        <v>3388500</v>
      </c>
    </row>
    <row r="29" spans="1:7">
      <c r="A29" s="6">
        <v>45034</v>
      </c>
      <c r="B29" s="10" t="s">
        <v>14</v>
      </c>
      <c r="C29" s="8">
        <f>C27*0.5%</f>
        <v>20000</v>
      </c>
      <c r="D29" s="8"/>
      <c r="E29" s="8">
        <f t="shared" si="0"/>
        <v>3368500</v>
      </c>
    </row>
    <row r="30" spans="1:7">
      <c r="A30" s="6">
        <v>45036</v>
      </c>
      <c r="B30" s="10" t="s">
        <v>9</v>
      </c>
      <c r="C30" s="8"/>
      <c r="D30" s="8">
        <v>150000</v>
      </c>
      <c r="E30" s="8">
        <f t="shared" si="0"/>
        <v>3518500</v>
      </c>
    </row>
    <row r="31" spans="1:7">
      <c r="A31" s="6">
        <v>45069</v>
      </c>
      <c r="B31" s="10" t="s">
        <v>9</v>
      </c>
      <c r="C31" s="8"/>
      <c r="D31" s="8">
        <v>150000</v>
      </c>
      <c r="E31" s="8">
        <f t="shared" si="0"/>
        <v>3668500</v>
      </c>
    </row>
    <row r="32" spans="1:7">
      <c r="A32" s="6">
        <v>45100</v>
      </c>
      <c r="B32" s="10" t="s">
        <v>9</v>
      </c>
      <c r="C32" s="8"/>
      <c r="D32" s="8">
        <v>150000</v>
      </c>
      <c r="E32" s="8">
        <f t="shared" si="0"/>
        <v>3818500</v>
      </c>
    </row>
    <row r="33" spans="1:5">
      <c r="A33" s="6">
        <v>45104</v>
      </c>
      <c r="B33" s="10" t="s">
        <v>16</v>
      </c>
      <c r="C33" s="8"/>
      <c r="D33" s="8">
        <v>500000</v>
      </c>
      <c r="E33" s="8">
        <f t="shared" si="0"/>
        <v>4318500</v>
      </c>
    </row>
    <row r="34" spans="1:5">
      <c r="A34" s="6">
        <v>45107</v>
      </c>
      <c r="B34" s="10" t="s">
        <v>11</v>
      </c>
      <c r="C34" s="8"/>
      <c r="D34" s="8">
        <v>4000000</v>
      </c>
      <c r="E34" s="8">
        <f t="shared" si="0"/>
        <v>8318500</v>
      </c>
    </row>
    <row r="35" spans="1:5">
      <c r="A35" s="6">
        <v>45107</v>
      </c>
      <c r="B35" s="10" t="s">
        <v>12</v>
      </c>
      <c r="C35" s="8">
        <v>4000000</v>
      </c>
      <c r="D35" s="8"/>
      <c r="E35" s="8">
        <f t="shared" si="0"/>
        <v>4318500</v>
      </c>
    </row>
    <row r="36" spans="1:5">
      <c r="A36" s="6">
        <v>45107</v>
      </c>
      <c r="B36" s="10" t="s">
        <v>13</v>
      </c>
      <c r="C36" s="8">
        <v>2000</v>
      </c>
      <c r="D36" s="8"/>
      <c r="E36" s="8">
        <f t="shared" si="0"/>
        <v>4316500</v>
      </c>
    </row>
    <row r="37" spans="1:5">
      <c r="A37" s="6">
        <v>45107</v>
      </c>
      <c r="B37" s="10" t="s">
        <v>14</v>
      </c>
      <c r="C37" s="8">
        <f>C35*0.5%</f>
        <v>20000</v>
      </c>
      <c r="D37" s="8"/>
      <c r="E37" s="8">
        <f t="shared" si="0"/>
        <v>4296500</v>
      </c>
    </row>
    <row r="38" spans="1:5">
      <c r="A38" s="6">
        <v>45128</v>
      </c>
      <c r="B38" s="10" t="s">
        <v>9</v>
      </c>
      <c r="C38" s="8"/>
      <c r="D38" s="8">
        <v>150000</v>
      </c>
      <c r="E38" s="8">
        <f t="shared" si="0"/>
        <v>4446500</v>
      </c>
    </row>
    <row r="39" spans="1:5">
      <c r="A39" s="6">
        <v>45161</v>
      </c>
      <c r="B39" s="10" t="s">
        <v>9</v>
      </c>
      <c r="C39" s="8"/>
      <c r="D39" s="8">
        <v>150000</v>
      </c>
      <c r="E39" s="8">
        <f t="shared" si="0"/>
        <v>4596500</v>
      </c>
    </row>
    <row r="40" spans="1:5">
      <c r="A40" s="6">
        <v>45191</v>
      </c>
      <c r="B40" s="10" t="s">
        <v>9</v>
      </c>
      <c r="C40" s="8"/>
      <c r="D40" s="8">
        <v>150000</v>
      </c>
      <c r="E40" s="8">
        <f t="shared" si="0"/>
        <v>4746500</v>
      </c>
    </row>
    <row r="41" spans="1:5">
      <c r="A41" s="6">
        <v>45202</v>
      </c>
      <c r="B41" s="10" t="s">
        <v>11</v>
      </c>
      <c r="C41" s="8"/>
      <c r="D41" s="8">
        <v>4500000</v>
      </c>
      <c r="E41" s="8">
        <f t="shared" si="0"/>
        <v>9246500</v>
      </c>
    </row>
    <row r="42" spans="1:5">
      <c r="A42" s="6">
        <v>45202</v>
      </c>
      <c r="B42" s="10" t="s">
        <v>12</v>
      </c>
      <c r="C42" s="8">
        <v>4500000</v>
      </c>
      <c r="D42" s="8"/>
      <c r="E42" s="8">
        <f t="shared" si="0"/>
        <v>4746500</v>
      </c>
    </row>
    <row r="43" spans="1:5">
      <c r="A43" s="6">
        <v>45202</v>
      </c>
      <c r="B43" s="10" t="s">
        <v>13</v>
      </c>
      <c r="C43" s="8">
        <v>2000</v>
      </c>
      <c r="D43" s="8"/>
      <c r="E43" s="8">
        <f t="shared" si="0"/>
        <v>4744500</v>
      </c>
    </row>
    <row r="44" spans="1:5">
      <c r="A44" s="6">
        <v>45202</v>
      </c>
      <c r="B44" s="10" t="s">
        <v>14</v>
      </c>
      <c r="C44" s="8">
        <f>C42*0.5%</f>
        <v>22500</v>
      </c>
      <c r="D44" s="8"/>
      <c r="E44" s="8">
        <f t="shared" si="0"/>
        <v>4722000</v>
      </c>
    </row>
    <row r="45" spans="1:5">
      <c r="A45" s="6">
        <v>45222</v>
      </c>
      <c r="B45" s="10" t="s">
        <v>9</v>
      </c>
      <c r="C45" s="8"/>
      <c r="D45" s="8">
        <v>150000</v>
      </c>
      <c r="E45" s="8">
        <f t="shared" si="0"/>
        <v>4872000</v>
      </c>
    </row>
    <row r="46" spans="1:5">
      <c r="A46" s="6">
        <v>45253</v>
      </c>
      <c r="B46" s="10" t="s">
        <v>9</v>
      </c>
      <c r="C46" s="8"/>
      <c r="D46" s="8">
        <v>150000</v>
      </c>
      <c r="E46" s="8">
        <f t="shared" si="0"/>
        <v>5022000</v>
      </c>
    </row>
    <row r="47" spans="1:5">
      <c r="A47" s="6">
        <v>45257</v>
      </c>
      <c r="B47" s="10" t="s">
        <v>17</v>
      </c>
      <c r="C47" s="8"/>
      <c r="D47" s="8">
        <v>2000000</v>
      </c>
      <c r="E47" s="8">
        <f t="shared" si="0"/>
        <v>7022000</v>
      </c>
    </row>
    <row r="48" spans="1:5">
      <c r="A48" s="6">
        <v>45257</v>
      </c>
      <c r="B48" s="10" t="s">
        <v>12</v>
      </c>
      <c r="C48" s="8">
        <v>2000000</v>
      </c>
      <c r="D48" s="8"/>
      <c r="E48" s="8">
        <f t="shared" si="0"/>
        <v>5022000</v>
      </c>
    </row>
    <row r="49" spans="1:5">
      <c r="A49" s="6">
        <v>45257</v>
      </c>
      <c r="B49" s="10" t="s">
        <v>13</v>
      </c>
      <c r="C49" s="8">
        <v>2000</v>
      </c>
      <c r="D49" s="8"/>
      <c r="E49" s="8">
        <f t="shared" si="0"/>
        <v>5020000</v>
      </c>
    </row>
    <row r="50" spans="1:5">
      <c r="A50" s="6">
        <v>45257</v>
      </c>
      <c r="B50" s="10" t="s">
        <v>14</v>
      </c>
      <c r="C50" s="8">
        <f>C48*0.5%</f>
        <v>10000</v>
      </c>
      <c r="D50" s="8"/>
      <c r="E50" s="8">
        <f t="shared" si="0"/>
        <v>5010000</v>
      </c>
    </row>
    <row r="51" spans="1:5">
      <c r="A51" s="6">
        <v>45280</v>
      </c>
      <c r="B51" s="10" t="s">
        <v>9</v>
      </c>
      <c r="C51" s="8"/>
      <c r="D51" s="8">
        <v>150000</v>
      </c>
      <c r="E51" s="8">
        <f t="shared" si="0"/>
        <v>5160000</v>
      </c>
    </row>
    <row r="52" spans="1:5">
      <c r="A52" s="6">
        <v>45280</v>
      </c>
      <c r="B52" s="10" t="s">
        <v>18</v>
      </c>
      <c r="C52" s="8"/>
      <c r="D52" s="8">
        <v>1500000</v>
      </c>
      <c r="E52" s="8">
        <f t="shared" si="0"/>
        <v>6660000</v>
      </c>
    </row>
    <row r="53" spans="1:5">
      <c r="A53" s="6">
        <v>45281</v>
      </c>
      <c r="B53" s="10" t="s">
        <v>17</v>
      </c>
      <c r="C53" s="8"/>
      <c r="D53" s="8">
        <v>6000000</v>
      </c>
      <c r="E53" s="8">
        <f t="shared" si="0"/>
        <v>12660000</v>
      </c>
    </row>
    <row r="54" spans="1:5">
      <c r="A54" s="6">
        <v>45281</v>
      </c>
      <c r="B54" s="10" t="s">
        <v>12</v>
      </c>
      <c r="C54" s="8">
        <v>6000000</v>
      </c>
      <c r="D54" s="8"/>
      <c r="E54" s="8">
        <f t="shared" si="0"/>
        <v>6660000</v>
      </c>
    </row>
    <row r="55" spans="1:5">
      <c r="A55" s="6">
        <v>45281</v>
      </c>
      <c r="B55" s="10" t="s">
        <v>13</v>
      </c>
      <c r="C55" s="8">
        <v>2000</v>
      </c>
      <c r="D55" s="8"/>
      <c r="E55" s="8">
        <f t="shared" si="0"/>
        <v>6658000</v>
      </c>
    </row>
    <row r="56" spans="1:5">
      <c r="A56" s="6">
        <v>45281</v>
      </c>
      <c r="B56" s="10" t="s">
        <v>14</v>
      </c>
      <c r="C56" s="8">
        <f>C54*0.5%</f>
        <v>30000</v>
      </c>
      <c r="D56" s="8"/>
      <c r="E56" s="8">
        <f t="shared" si="0"/>
        <v>6628000</v>
      </c>
    </row>
    <row r="57" spans="1:5">
      <c r="A57" s="6">
        <v>45314</v>
      </c>
      <c r="B57" s="10" t="s">
        <v>9</v>
      </c>
      <c r="C57" s="8"/>
      <c r="D57" s="8">
        <v>150000</v>
      </c>
      <c r="E57" s="8">
        <f t="shared" si="0"/>
        <v>6778000</v>
      </c>
    </row>
    <row r="58" spans="1:5">
      <c r="A58" s="6">
        <v>45330</v>
      </c>
      <c r="B58" s="10" t="s">
        <v>17</v>
      </c>
      <c r="C58" s="8"/>
      <c r="D58" s="8">
        <v>2000000</v>
      </c>
      <c r="E58" s="8">
        <f t="shared" si="0"/>
        <v>8778000</v>
      </c>
    </row>
    <row r="59" spans="1:5">
      <c r="A59" s="6">
        <v>45330</v>
      </c>
      <c r="B59" s="10" t="s">
        <v>12</v>
      </c>
      <c r="C59" s="8">
        <v>2000000</v>
      </c>
      <c r="D59" s="8"/>
      <c r="E59" s="8">
        <f t="shared" si="0"/>
        <v>6778000</v>
      </c>
    </row>
    <row r="60" spans="1:5">
      <c r="A60" s="6">
        <v>45330</v>
      </c>
      <c r="B60" s="10" t="s">
        <v>13</v>
      </c>
      <c r="C60" s="8">
        <v>2000</v>
      </c>
      <c r="D60" s="8"/>
      <c r="E60" s="8">
        <f t="shared" si="0"/>
        <v>6776000</v>
      </c>
    </row>
    <row r="61" spans="1:5">
      <c r="A61" s="6">
        <v>45330</v>
      </c>
      <c r="B61" s="10" t="s">
        <v>14</v>
      </c>
      <c r="C61" s="8">
        <f>C59*0.5%</f>
        <v>10000</v>
      </c>
      <c r="D61" s="8"/>
      <c r="E61" s="8">
        <f t="shared" si="0"/>
        <v>6766000</v>
      </c>
    </row>
    <row r="62" spans="1:5">
      <c r="A62" s="6">
        <v>45345</v>
      </c>
      <c r="B62" s="10" t="s">
        <v>9</v>
      </c>
      <c r="C62" s="8"/>
      <c r="D62" s="8">
        <v>150000</v>
      </c>
      <c r="E62" s="8">
        <f t="shared" si="0"/>
        <v>6916000</v>
      </c>
    </row>
    <row r="63" spans="1:5">
      <c r="A63" s="6">
        <v>45357</v>
      </c>
      <c r="B63" s="10" t="s">
        <v>19</v>
      </c>
      <c r="C63" s="8"/>
      <c r="D63" s="8">
        <v>3000000</v>
      </c>
      <c r="E63" s="8">
        <f t="shared" si="0"/>
        <v>9916000</v>
      </c>
    </row>
    <row r="64" spans="1:5">
      <c r="A64" s="6">
        <v>45357</v>
      </c>
      <c r="B64" s="10" t="s">
        <v>12</v>
      </c>
      <c r="C64" s="8">
        <v>3000000</v>
      </c>
      <c r="D64" s="8"/>
      <c r="E64" s="8">
        <f t="shared" si="0"/>
        <v>6916000</v>
      </c>
    </row>
    <row r="65" spans="1:8">
      <c r="A65" s="6">
        <v>45357</v>
      </c>
      <c r="B65" s="10" t="s">
        <v>13</v>
      </c>
      <c r="C65" s="8">
        <v>2000</v>
      </c>
      <c r="D65" s="8"/>
      <c r="E65" s="8">
        <f t="shared" si="0"/>
        <v>6914000</v>
      </c>
    </row>
    <row r="66" spans="1:8">
      <c r="A66" s="6">
        <v>45357</v>
      </c>
      <c r="B66" s="10" t="s">
        <v>14</v>
      </c>
      <c r="C66" s="8">
        <f>C64*0.5%</f>
        <v>15000</v>
      </c>
      <c r="D66" s="8"/>
      <c r="E66" s="8">
        <f t="shared" si="0"/>
        <v>6899000</v>
      </c>
    </row>
    <row r="67" spans="1:8">
      <c r="A67" s="6">
        <v>45373</v>
      </c>
      <c r="B67" s="10" t="s">
        <v>9</v>
      </c>
      <c r="C67" s="8"/>
      <c r="D67" s="8">
        <v>150000</v>
      </c>
      <c r="E67" s="8">
        <f t="shared" si="0"/>
        <v>7049000</v>
      </c>
    </row>
    <row r="68" spans="1:8">
      <c r="A68" s="6">
        <v>45405</v>
      </c>
      <c r="B68" s="10" t="s">
        <v>9</v>
      </c>
      <c r="C68" s="8"/>
      <c r="D68" s="8">
        <v>150000</v>
      </c>
      <c r="E68" s="8">
        <f t="shared" si="0"/>
        <v>7199000</v>
      </c>
    </row>
    <row r="69" spans="1:8">
      <c r="A69" s="6">
        <v>45406</v>
      </c>
      <c r="B69" s="10" t="s">
        <v>17</v>
      </c>
      <c r="C69" s="8"/>
      <c r="D69" s="8">
        <v>2000000</v>
      </c>
      <c r="E69" s="8">
        <f t="shared" si="0"/>
        <v>9199000</v>
      </c>
    </row>
    <row r="70" spans="1:8">
      <c r="A70" s="6">
        <v>45406</v>
      </c>
      <c r="B70" s="10" t="s">
        <v>12</v>
      </c>
      <c r="C70" s="8">
        <v>2000000</v>
      </c>
      <c r="D70" s="8"/>
      <c r="E70" s="8">
        <f t="shared" ref="E70:E133" si="1">E69+D70-C70</f>
        <v>7199000</v>
      </c>
    </row>
    <row r="71" spans="1:8">
      <c r="A71" s="6">
        <v>45406</v>
      </c>
      <c r="B71" s="10" t="s">
        <v>13</v>
      </c>
      <c r="C71" s="8">
        <v>2000</v>
      </c>
      <c r="D71" s="8"/>
      <c r="E71" s="8">
        <f t="shared" si="1"/>
        <v>7197000</v>
      </c>
    </row>
    <row r="72" spans="1:8">
      <c r="A72" s="6">
        <v>45406</v>
      </c>
      <c r="B72" s="10" t="s">
        <v>14</v>
      </c>
      <c r="C72" s="8">
        <f>C70*0.5%</f>
        <v>10000</v>
      </c>
      <c r="D72" s="8"/>
      <c r="E72" s="8">
        <f t="shared" si="1"/>
        <v>7187000</v>
      </c>
    </row>
    <row r="73" spans="1:8">
      <c r="A73" s="6">
        <v>45415</v>
      </c>
      <c r="B73" s="10" t="s">
        <v>20</v>
      </c>
      <c r="C73" s="8">
        <v>1354761.7</v>
      </c>
      <c r="D73" s="8"/>
      <c r="E73" s="8">
        <f t="shared" si="1"/>
        <v>5832238.2999999998</v>
      </c>
    </row>
    <row r="74" spans="1:8">
      <c r="A74" s="6">
        <v>45418</v>
      </c>
      <c r="B74" s="10" t="s">
        <v>19</v>
      </c>
      <c r="C74" s="8"/>
      <c r="D74" s="8">
        <v>4500000</v>
      </c>
      <c r="E74" s="8">
        <f t="shared" si="1"/>
        <v>10332238.300000001</v>
      </c>
      <c r="H74" s="6"/>
    </row>
    <row r="75" spans="1:8">
      <c r="A75" s="6">
        <v>45418</v>
      </c>
      <c r="B75" s="10" t="s">
        <v>12</v>
      </c>
      <c r="C75" s="8">
        <v>4500000</v>
      </c>
      <c r="D75" s="8"/>
      <c r="E75" s="8">
        <f t="shared" si="1"/>
        <v>5832238.3000000007</v>
      </c>
    </row>
    <row r="76" spans="1:8">
      <c r="A76" s="6">
        <v>45418</v>
      </c>
      <c r="B76" s="10" t="s">
        <v>13</v>
      </c>
      <c r="C76" s="8">
        <v>2000</v>
      </c>
      <c r="D76" s="8"/>
      <c r="E76" s="8">
        <f t="shared" si="1"/>
        <v>5830238.3000000007</v>
      </c>
    </row>
    <row r="77" spans="1:8">
      <c r="A77" s="6">
        <v>45418</v>
      </c>
      <c r="B77" s="10" t="s">
        <v>14</v>
      </c>
      <c r="C77" s="8">
        <f>C75*0.5%</f>
        <v>22500</v>
      </c>
      <c r="D77" s="8"/>
      <c r="E77" s="8">
        <f t="shared" si="1"/>
        <v>5807738.3000000007</v>
      </c>
    </row>
    <row r="78" spans="1:8">
      <c r="A78" s="6">
        <v>45435</v>
      </c>
      <c r="B78" s="10" t="s">
        <v>9</v>
      </c>
      <c r="C78" s="8"/>
      <c r="D78" s="8">
        <v>150000</v>
      </c>
      <c r="E78" s="8">
        <f t="shared" si="1"/>
        <v>5957738.3000000007</v>
      </c>
    </row>
    <row r="79" spans="1:8">
      <c r="A79" s="6">
        <v>45464</v>
      </c>
      <c r="B79" s="10" t="s">
        <v>17</v>
      </c>
      <c r="C79" s="8"/>
      <c r="D79" s="8">
        <v>2000000</v>
      </c>
      <c r="E79" s="8">
        <f t="shared" si="1"/>
        <v>7957738.3000000007</v>
      </c>
    </row>
    <row r="80" spans="1:8">
      <c r="A80" s="6">
        <v>45464</v>
      </c>
      <c r="B80" s="10" t="s">
        <v>12</v>
      </c>
      <c r="C80" s="8">
        <v>2000000</v>
      </c>
      <c r="D80" s="8"/>
      <c r="E80" s="8">
        <f t="shared" si="1"/>
        <v>5957738.3000000007</v>
      </c>
    </row>
    <row r="81" spans="1:5">
      <c r="A81" s="6">
        <v>45464</v>
      </c>
      <c r="B81" s="10" t="s">
        <v>13</v>
      </c>
      <c r="C81" s="8">
        <v>2000</v>
      </c>
      <c r="D81" s="8"/>
      <c r="E81" s="8">
        <f t="shared" si="1"/>
        <v>5955738.3000000007</v>
      </c>
    </row>
    <row r="82" spans="1:5">
      <c r="A82" s="6">
        <v>45464</v>
      </c>
      <c r="B82" s="10" t="s">
        <v>14</v>
      </c>
      <c r="C82" s="8">
        <f>C80*0.5%</f>
        <v>10000</v>
      </c>
      <c r="D82" s="8"/>
      <c r="E82" s="8">
        <f t="shared" si="1"/>
        <v>5945738.3000000007</v>
      </c>
    </row>
    <row r="83" spans="1:5">
      <c r="A83" s="6">
        <v>45465</v>
      </c>
      <c r="B83" s="10" t="s">
        <v>9</v>
      </c>
      <c r="C83" s="8"/>
      <c r="D83" s="8">
        <v>150000</v>
      </c>
      <c r="E83" s="8">
        <f t="shared" si="1"/>
        <v>6095738.3000000007</v>
      </c>
    </row>
    <row r="84" spans="1:5">
      <c r="A84" s="6">
        <v>45496</v>
      </c>
      <c r="B84" s="10" t="s">
        <v>9</v>
      </c>
      <c r="C84" s="8"/>
      <c r="D84" s="8">
        <v>150000</v>
      </c>
      <c r="E84" s="8">
        <f t="shared" si="1"/>
        <v>6245738.3000000007</v>
      </c>
    </row>
    <row r="85" spans="1:5">
      <c r="A85" s="6">
        <v>45527</v>
      </c>
      <c r="B85" s="10" t="s">
        <v>9</v>
      </c>
      <c r="C85" s="8"/>
      <c r="D85" s="8">
        <v>150000</v>
      </c>
      <c r="E85" s="8">
        <f t="shared" si="1"/>
        <v>6395738.3000000007</v>
      </c>
    </row>
    <row r="86" spans="1:5">
      <c r="A86" s="6">
        <v>45530</v>
      </c>
      <c r="B86" s="10" t="s">
        <v>17</v>
      </c>
      <c r="C86" s="8"/>
      <c r="D86" s="8">
        <v>2000000</v>
      </c>
      <c r="E86" s="8">
        <f t="shared" si="1"/>
        <v>8395738.3000000007</v>
      </c>
    </row>
    <row r="87" spans="1:5">
      <c r="A87" s="6">
        <v>45530</v>
      </c>
      <c r="B87" s="10" t="s">
        <v>12</v>
      </c>
      <c r="C87" s="8">
        <v>2000000</v>
      </c>
      <c r="D87" s="8"/>
      <c r="E87" s="8">
        <f t="shared" si="1"/>
        <v>6395738.3000000007</v>
      </c>
    </row>
    <row r="88" spans="1:5">
      <c r="A88" s="6">
        <v>45530</v>
      </c>
      <c r="B88" s="10" t="s">
        <v>13</v>
      </c>
      <c r="C88" s="8">
        <v>2000</v>
      </c>
      <c r="D88" s="8"/>
      <c r="E88" s="8">
        <f t="shared" si="1"/>
        <v>6393738.3000000007</v>
      </c>
    </row>
    <row r="89" spans="1:5">
      <c r="A89" s="6">
        <v>45530</v>
      </c>
      <c r="B89" s="10" t="s">
        <v>14</v>
      </c>
      <c r="C89" s="8">
        <f>C87*0.5%</f>
        <v>10000</v>
      </c>
      <c r="D89" s="8"/>
      <c r="E89" s="8">
        <f t="shared" si="1"/>
        <v>6383738.3000000007</v>
      </c>
    </row>
    <row r="90" spans="1:5">
      <c r="A90" s="6">
        <v>45540</v>
      </c>
      <c r="B90" s="10" t="s">
        <v>21</v>
      </c>
      <c r="C90" s="8"/>
      <c r="D90" s="8">
        <v>2800000</v>
      </c>
      <c r="E90" s="8">
        <f t="shared" si="1"/>
        <v>9183738.3000000007</v>
      </c>
    </row>
    <row r="91" spans="1:5">
      <c r="A91" s="6">
        <v>45540</v>
      </c>
      <c r="B91" s="10" t="s">
        <v>12</v>
      </c>
      <c r="C91" s="8">
        <v>2800000</v>
      </c>
      <c r="D91" s="8"/>
      <c r="E91" s="8">
        <f t="shared" si="1"/>
        <v>6383738.3000000007</v>
      </c>
    </row>
    <row r="92" spans="1:5">
      <c r="A92" s="6">
        <v>45540</v>
      </c>
      <c r="B92" s="10" t="s">
        <v>13</v>
      </c>
      <c r="C92" s="8">
        <v>2000</v>
      </c>
      <c r="D92" s="8"/>
      <c r="E92" s="8">
        <f t="shared" si="1"/>
        <v>6381738.3000000007</v>
      </c>
    </row>
    <row r="93" spans="1:5">
      <c r="A93" s="6">
        <v>45540</v>
      </c>
      <c r="B93" s="10" t="s">
        <v>14</v>
      </c>
      <c r="C93" s="8">
        <f>C91*0.5%</f>
        <v>14000</v>
      </c>
      <c r="D93" s="8"/>
      <c r="E93" s="8">
        <f t="shared" si="1"/>
        <v>6367738.3000000007</v>
      </c>
    </row>
    <row r="94" spans="1:5">
      <c r="A94" s="6">
        <v>45558</v>
      </c>
      <c r="B94" s="10" t="s">
        <v>9</v>
      </c>
      <c r="C94" s="8"/>
      <c r="D94" s="8">
        <v>150000</v>
      </c>
      <c r="E94" s="8">
        <f t="shared" si="1"/>
        <v>6517738.3000000007</v>
      </c>
    </row>
    <row r="95" spans="1:5">
      <c r="A95" s="6">
        <v>45588</v>
      </c>
      <c r="B95" s="10" t="s">
        <v>9</v>
      </c>
      <c r="C95" s="8"/>
      <c r="D95" s="8">
        <v>150000</v>
      </c>
      <c r="E95" s="8">
        <f t="shared" si="1"/>
        <v>6667738.3000000007</v>
      </c>
    </row>
    <row r="96" spans="1:5">
      <c r="A96" s="6">
        <v>45590</v>
      </c>
      <c r="B96" s="10" t="s">
        <v>17</v>
      </c>
      <c r="C96" s="8"/>
      <c r="D96" s="8">
        <v>2000000</v>
      </c>
      <c r="E96" s="8">
        <f t="shared" si="1"/>
        <v>8667738.3000000007</v>
      </c>
    </row>
    <row r="97" spans="1:5">
      <c r="A97" s="6">
        <v>45590</v>
      </c>
      <c r="B97" s="10" t="s">
        <v>12</v>
      </c>
      <c r="C97" s="8">
        <v>2000000</v>
      </c>
      <c r="D97" s="8"/>
      <c r="E97" s="8">
        <f t="shared" si="1"/>
        <v>6667738.3000000007</v>
      </c>
    </row>
    <row r="98" spans="1:5">
      <c r="A98" s="6">
        <v>45590</v>
      </c>
      <c r="B98" s="10" t="s">
        <v>13</v>
      </c>
      <c r="C98" s="8">
        <v>2000</v>
      </c>
      <c r="D98" s="8"/>
      <c r="E98" s="8">
        <f t="shared" si="1"/>
        <v>6665738.3000000007</v>
      </c>
    </row>
    <row r="99" spans="1:5">
      <c r="A99" s="6">
        <v>45590</v>
      </c>
      <c r="B99" s="10" t="s">
        <v>14</v>
      </c>
      <c r="C99" s="8">
        <f>C97*0.5%</f>
        <v>10000</v>
      </c>
      <c r="D99" s="8"/>
      <c r="E99" s="8">
        <f t="shared" si="1"/>
        <v>6655738.3000000007</v>
      </c>
    </row>
    <row r="100" spans="1:5">
      <c r="A100" s="6">
        <v>45608</v>
      </c>
      <c r="B100" s="10" t="s">
        <v>21</v>
      </c>
      <c r="C100" s="8"/>
      <c r="D100" s="8">
        <v>2030000</v>
      </c>
      <c r="E100" s="8">
        <f t="shared" si="1"/>
        <v>8685738.3000000007</v>
      </c>
    </row>
    <row r="101" spans="1:5">
      <c r="A101" s="6">
        <v>45608</v>
      </c>
      <c r="B101" s="10" t="s">
        <v>12</v>
      </c>
      <c r="C101" s="8">
        <v>2030000</v>
      </c>
      <c r="D101" s="8"/>
      <c r="E101" s="8">
        <f t="shared" si="1"/>
        <v>6655738.3000000007</v>
      </c>
    </row>
    <row r="102" spans="1:5">
      <c r="A102" s="6">
        <v>45608</v>
      </c>
      <c r="B102" s="10" t="s">
        <v>13</v>
      </c>
      <c r="C102" s="8">
        <v>2000</v>
      </c>
      <c r="D102" s="8"/>
      <c r="E102" s="8">
        <f t="shared" si="1"/>
        <v>6653738.3000000007</v>
      </c>
    </row>
    <row r="103" spans="1:5">
      <c r="A103" s="6">
        <v>45608</v>
      </c>
      <c r="B103" s="10" t="s">
        <v>14</v>
      </c>
      <c r="C103" s="8">
        <f>C101*0.5%</f>
        <v>10150</v>
      </c>
      <c r="D103" s="8"/>
      <c r="E103" s="8">
        <f t="shared" si="1"/>
        <v>6643588.3000000007</v>
      </c>
    </row>
    <row r="104" spans="1:5">
      <c r="A104" s="6">
        <v>45646</v>
      </c>
      <c r="B104" s="10" t="s">
        <v>9</v>
      </c>
      <c r="C104" s="8"/>
      <c r="D104" s="8">
        <v>150000</v>
      </c>
      <c r="E104" s="8">
        <f t="shared" si="1"/>
        <v>6793588.3000000007</v>
      </c>
    </row>
    <row r="105" spans="1:5">
      <c r="A105" s="6">
        <v>45646</v>
      </c>
      <c r="B105" s="10" t="s">
        <v>17</v>
      </c>
      <c r="C105" s="8"/>
      <c r="D105" s="8">
        <v>2000000</v>
      </c>
      <c r="E105" s="8">
        <f t="shared" si="1"/>
        <v>8793588.3000000007</v>
      </c>
    </row>
    <row r="106" spans="1:5">
      <c r="A106" s="6">
        <v>45646</v>
      </c>
      <c r="B106" s="10" t="s">
        <v>12</v>
      </c>
      <c r="C106" s="8">
        <v>2000000</v>
      </c>
      <c r="D106" s="8"/>
      <c r="E106" s="8">
        <f t="shared" si="1"/>
        <v>6793588.3000000007</v>
      </c>
    </row>
    <row r="107" spans="1:5">
      <c r="A107" s="6">
        <v>45646</v>
      </c>
      <c r="B107" s="10" t="s">
        <v>13</v>
      </c>
      <c r="C107" s="8">
        <v>2000</v>
      </c>
      <c r="D107" s="8"/>
      <c r="E107" s="8">
        <f t="shared" si="1"/>
        <v>6791588.3000000007</v>
      </c>
    </row>
    <row r="108" spans="1:5">
      <c r="A108" s="6">
        <v>45646</v>
      </c>
      <c r="B108" s="10" t="s">
        <v>14</v>
      </c>
      <c r="C108" s="8">
        <f>C106*0.5%</f>
        <v>10000</v>
      </c>
      <c r="D108" s="8"/>
      <c r="E108" s="8">
        <f t="shared" si="1"/>
        <v>6781588.3000000007</v>
      </c>
    </row>
    <row r="109" spans="1:5">
      <c r="A109" s="6">
        <v>45680</v>
      </c>
      <c r="B109" s="10" t="s">
        <v>9</v>
      </c>
      <c r="C109" s="8"/>
      <c r="D109" s="8">
        <v>150000</v>
      </c>
      <c r="E109" s="8">
        <f t="shared" si="1"/>
        <v>6931588.3000000007</v>
      </c>
    </row>
    <row r="110" spans="1:5">
      <c r="A110" s="6">
        <v>45684</v>
      </c>
      <c r="B110" s="10" t="s">
        <v>21</v>
      </c>
      <c r="C110" s="8"/>
      <c r="D110" s="8">
        <v>2080000</v>
      </c>
      <c r="E110" s="8">
        <f t="shared" si="1"/>
        <v>9011588.3000000007</v>
      </c>
    </row>
    <row r="111" spans="1:5">
      <c r="A111" s="6">
        <v>45684</v>
      </c>
      <c r="B111" s="10" t="s">
        <v>12</v>
      </c>
      <c r="C111" s="8">
        <v>2080000</v>
      </c>
      <c r="D111" s="8"/>
      <c r="E111" s="8">
        <f t="shared" si="1"/>
        <v>6931588.3000000007</v>
      </c>
    </row>
    <row r="112" spans="1:5">
      <c r="A112" s="6">
        <v>45684</v>
      </c>
      <c r="B112" s="10" t="s">
        <v>13</v>
      </c>
      <c r="C112" s="8">
        <v>2000</v>
      </c>
      <c r="D112" s="8"/>
      <c r="E112" s="8">
        <f t="shared" si="1"/>
        <v>6929588.3000000007</v>
      </c>
    </row>
    <row r="113" spans="1:5">
      <c r="A113" s="6">
        <v>45684</v>
      </c>
      <c r="B113" s="10" t="s">
        <v>14</v>
      </c>
      <c r="C113" s="8">
        <f>C111*0.5%</f>
        <v>10400</v>
      </c>
      <c r="D113" s="8"/>
      <c r="E113" s="8">
        <f t="shared" si="1"/>
        <v>6919188.3000000007</v>
      </c>
    </row>
    <row r="114" spans="1:5">
      <c r="A114" s="6">
        <v>45709</v>
      </c>
      <c r="B114" s="10" t="s">
        <v>9</v>
      </c>
      <c r="C114" s="8"/>
      <c r="D114" s="8">
        <v>150000</v>
      </c>
      <c r="E114" s="8">
        <f t="shared" si="1"/>
        <v>7069188.3000000007</v>
      </c>
    </row>
    <row r="115" spans="1:5">
      <c r="A115" s="6">
        <v>45716</v>
      </c>
      <c r="B115" s="10" t="s">
        <v>17</v>
      </c>
      <c r="C115" s="8"/>
      <c r="D115" s="8">
        <v>2000000</v>
      </c>
      <c r="E115" s="8">
        <f t="shared" si="1"/>
        <v>9069188.3000000007</v>
      </c>
    </row>
    <row r="116" spans="1:5">
      <c r="A116" s="6">
        <v>45716</v>
      </c>
      <c r="B116" s="10" t="s">
        <v>12</v>
      </c>
      <c r="C116" s="8">
        <v>2000000</v>
      </c>
      <c r="D116" s="8"/>
      <c r="E116" s="8">
        <f t="shared" si="1"/>
        <v>7069188.3000000007</v>
      </c>
    </row>
    <row r="117" spans="1:5">
      <c r="A117" s="6">
        <v>45716</v>
      </c>
      <c r="B117" s="10" t="s">
        <v>13</v>
      </c>
      <c r="C117" s="8">
        <v>2000</v>
      </c>
      <c r="D117" s="8"/>
      <c r="E117" s="8">
        <f t="shared" si="1"/>
        <v>7067188.3000000007</v>
      </c>
    </row>
    <row r="118" spans="1:5">
      <c r="A118" s="6">
        <v>45716</v>
      </c>
      <c r="B118" s="10" t="s">
        <v>14</v>
      </c>
      <c r="C118" s="8">
        <f>C116*0.5%</f>
        <v>10000</v>
      </c>
      <c r="D118" s="8"/>
      <c r="E118" s="8">
        <f t="shared" si="1"/>
        <v>7057188.3000000007</v>
      </c>
    </row>
    <row r="119" spans="1:5">
      <c r="A119" s="6">
        <v>45737</v>
      </c>
      <c r="B119" s="10" t="s">
        <v>9</v>
      </c>
      <c r="C119" s="8"/>
      <c r="D119" s="8">
        <v>150000</v>
      </c>
      <c r="E119" s="8">
        <f t="shared" si="1"/>
        <v>7207188.3000000007</v>
      </c>
    </row>
    <row r="120" spans="1:5">
      <c r="A120" s="12">
        <v>45770</v>
      </c>
      <c r="B120" s="10" t="s">
        <v>9</v>
      </c>
      <c r="C120" s="8"/>
      <c r="D120" s="8">
        <v>150000</v>
      </c>
      <c r="E120" s="8">
        <f t="shared" si="1"/>
        <v>7357188.3000000007</v>
      </c>
    </row>
    <row r="121" spans="1:5">
      <c r="A121" s="12">
        <v>45784</v>
      </c>
      <c r="B121" s="10" t="s">
        <v>21</v>
      </c>
      <c r="C121" s="8"/>
      <c r="D121" s="8">
        <v>2000000</v>
      </c>
      <c r="E121" s="8">
        <f t="shared" si="1"/>
        <v>9357188.3000000007</v>
      </c>
    </row>
    <row r="122" spans="1:5">
      <c r="A122" s="12">
        <v>45784</v>
      </c>
      <c r="B122" s="10" t="s">
        <v>12</v>
      </c>
      <c r="C122" s="8">
        <v>2000000</v>
      </c>
      <c r="D122" s="8"/>
      <c r="E122" s="8">
        <f t="shared" si="1"/>
        <v>7357188.3000000007</v>
      </c>
    </row>
    <row r="123" spans="1:5">
      <c r="A123" s="12">
        <v>45784</v>
      </c>
      <c r="B123" s="10" t="s">
        <v>13</v>
      </c>
      <c r="C123" s="8">
        <v>2000</v>
      </c>
      <c r="D123" s="8"/>
      <c r="E123" s="8">
        <f t="shared" si="1"/>
        <v>7355188.3000000007</v>
      </c>
    </row>
    <row r="124" spans="1:5">
      <c r="A124" s="12">
        <v>45784</v>
      </c>
      <c r="B124" s="10" t="s">
        <v>14</v>
      </c>
      <c r="C124" s="8">
        <f>C122*0.5%</f>
        <v>10000</v>
      </c>
      <c r="D124" s="8"/>
      <c r="E124" s="8">
        <f t="shared" si="1"/>
        <v>7345188.3000000007</v>
      </c>
    </row>
    <row r="125" spans="1:5">
      <c r="A125" s="12">
        <v>45800</v>
      </c>
      <c r="B125" s="10" t="s">
        <v>9</v>
      </c>
      <c r="C125" s="8"/>
      <c r="D125" s="8">
        <v>150000</v>
      </c>
      <c r="E125" s="8">
        <f t="shared" si="1"/>
        <v>7495188.3000000007</v>
      </c>
    </row>
    <row r="126" spans="1:5">
      <c r="A126" s="6">
        <v>45805</v>
      </c>
      <c r="B126" s="10" t="s">
        <v>17</v>
      </c>
      <c r="C126" s="8"/>
      <c r="D126" s="8">
        <v>2000000</v>
      </c>
      <c r="E126" s="8">
        <f t="shared" si="1"/>
        <v>9495188.3000000007</v>
      </c>
    </row>
    <row r="127" spans="1:5">
      <c r="A127" s="6">
        <v>45805</v>
      </c>
      <c r="B127" s="10" t="s">
        <v>12</v>
      </c>
      <c r="C127" s="8">
        <v>2000000</v>
      </c>
      <c r="D127" s="8"/>
      <c r="E127" s="8">
        <f t="shared" si="1"/>
        <v>7495188.3000000007</v>
      </c>
    </row>
    <row r="128" spans="1:5">
      <c r="A128" s="6">
        <v>45805</v>
      </c>
      <c r="B128" s="10" t="s">
        <v>13</v>
      </c>
      <c r="C128" s="8">
        <v>2000</v>
      </c>
      <c r="D128" s="8"/>
      <c r="E128" s="8">
        <f t="shared" si="1"/>
        <v>7493188.3000000007</v>
      </c>
    </row>
    <row r="129" spans="1:5">
      <c r="A129" s="6">
        <v>45805</v>
      </c>
      <c r="B129" s="10" t="s">
        <v>14</v>
      </c>
      <c r="C129" s="8">
        <f>C127*0.5%</f>
        <v>10000</v>
      </c>
      <c r="D129" s="8"/>
      <c r="E129" s="8">
        <f t="shared" si="1"/>
        <v>7483188.3000000007</v>
      </c>
    </row>
    <row r="130" spans="1:5">
      <c r="A130" s="6">
        <v>45831</v>
      </c>
      <c r="B130" s="10" t="s">
        <v>9</v>
      </c>
      <c r="C130" s="8"/>
      <c r="D130" s="8">
        <v>150000</v>
      </c>
      <c r="E130" s="8">
        <f t="shared" si="1"/>
        <v>7633188.3000000007</v>
      </c>
    </row>
    <row r="131" spans="1:5">
      <c r="A131" s="6">
        <v>45861</v>
      </c>
      <c r="B131" s="10" t="s">
        <v>9</v>
      </c>
      <c r="C131" s="8"/>
      <c r="D131" s="8">
        <v>150000</v>
      </c>
      <c r="E131" s="8">
        <f t="shared" si="1"/>
        <v>7783188.3000000007</v>
      </c>
    </row>
    <row r="132" spans="1:5">
      <c r="A132" s="6">
        <v>45874</v>
      </c>
      <c r="B132" s="10" t="s">
        <v>17</v>
      </c>
      <c r="C132" s="8"/>
      <c r="D132" s="8">
        <v>2000000</v>
      </c>
      <c r="E132" s="8">
        <f t="shared" si="1"/>
        <v>9783188.3000000007</v>
      </c>
    </row>
    <row r="133" spans="1:5">
      <c r="A133" s="6">
        <v>45874</v>
      </c>
      <c r="B133" s="10" t="s">
        <v>12</v>
      </c>
      <c r="C133" s="8">
        <v>2000000</v>
      </c>
      <c r="D133" s="8"/>
      <c r="E133" s="8">
        <f t="shared" si="1"/>
        <v>7783188.3000000007</v>
      </c>
    </row>
    <row r="134" spans="1:5">
      <c r="A134" s="6">
        <v>45874</v>
      </c>
      <c r="B134" s="10" t="s">
        <v>13</v>
      </c>
      <c r="C134" s="8">
        <v>2000</v>
      </c>
      <c r="D134" s="8"/>
      <c r="E134" s="8">
        <f t="shared" ref="E134:E167" si="2">E133+D134-C134</f>
        <v>7781188.3000000007</v>
      </c>
    </row>
    <row r="135" spans="1:5">
      <c r="A135" s="6">
        <v>45874</v>
      </c>
      <c r="B135" s="10" t="s">
        <v>14</v>
      </c>
      <c r="C135" s="8">
        <f>C133*0.5%</f>
        <v>10000</v>
      </c>
      <c r="D135" s="8"/>
      <c r="E135" s="8">
        <f t="shared" si="2"/>
        <v>7771188.3000000007</v>
      </c>
    </row>
    <row r="136" spans="1:5">
      <c r="A136" s="6">
        <v>45892</v>
      </c>
      <c r="B136" s="10" t="s">
        <v>9</v>
      </c>
      <c r="C136" s="8"/>
      <c r="D136" s="8">
        <v>150000</v>
      </c>
      <c r="E136" s="8">
        <f t="shared" si="2"/>
        <v>7921188.3000000007</v>
      </c>
    </row>
    <row r="137" spans="1:5">
      <c r="A137" s="6">
        <v>45897</v>
      </c>
      <c r="B137" s="10" t="s">
        <v>19</v>
      </c>
      <c r="C137" s="8"/>
      <c r="D137" s="8">
        <v>2600000</v>
      </c>
      <c r="E137" s="8">
        <f t="shared" si="2"/>
        <v>10521188.300000001</v>
      </c>
    </row>
    <row r="138" spans="1:5">
      <c r="A138" s="6">
        <v>45897</v>
      </c>
      <c r="B138" s="10" t="s">
        <v>12</v>
      </c>
      <c r="C138" s="8">
        <v>2600000</v>
      </c>
      <c r="D138" s="8"/>
      <c r="E138" s="8">
        <f t="shared" si="2"/>
        <v>7921188.3000000007</v>
      </c>
    </row>
    <row r="139" spans="1:5">
      <c r="A139" s="6">
        <v>45897</v>
      </c>
      <c r="B139" s="10" t="s">
        <v>13</v>
      </c>
      <c r="C139" s="8">
        <v>2000</v>
      </c>
      <c r="D139" s="8"/>
      <c r="E139" s="8">
        <f t="shared" si="2"/>
        <v>7919188.3000000007</v>
      </c>
    </row>
    <row r="140" spans="1:5">
      <c r="A140" s="6">
        <v>45897</v>
      </c>
      <c r="B140" s="10" t="s">
        <v>14</v>
      </c>
      <c r="C140" s="8">
        <f>C138*0.5%</f>
        <v>13000</v>
      </c>
      <c r="D140" s="8"/>
      <c r="E140" s="8">
        <f t="shared" si="2"/>
        <v>7906188.3000000007</v>
      </c>
    </row>
    <row r="141" spans="1:5">
      <c r="A141" s="12">
        <v>45923</v>
      </c>
      <c r="B141" s="13" t="s">
        <v>9</v>
      </c>
      <c r="C141" s="14"/>
      <c r="D141" s="14">
        <v>150000</v>
      </c>
      <c r="E141" s="8">
        <f t="shared" si="2"/>
        <v>8056188.3000000007</v>
      </c>
    </row>
    <row r="142" spans="1:5">
      <c r="A142" s="12">
        <v>45926</v>
      </c>
      <c r="B142" s="10" t="s">
        <v>17</v>
      </c>
      <c r="C142" s="8"/>
      <c r="D142" s="8">
        <v>2000000</v>
      </c>
      <c r="E142" s="8">
        <f t="shared" si="2"/>
        <v>10056188.300000001</v>
      </c>
    </row>
    <row r="143" spans="1:5">
      <c r="A143" s="12">
        <v>45926</v>
      </c>
      <c r="B143" s="10" t="s">
        <v>12</v>
      </c>
      <c r="C143" s="8">
        <v>2000000</v>
      </c>
      <c r="D143" s="8"/>
      <c r="E143" s="8">
        <f t="shared" si="2"/>
        <v>8056188.3000000007</v>
      </c>
    </row>
    <row r="144" spans="1:5">
      <c r="A144" s="12">
        <v>45926</v>
      </c>
      <c r="B144" s="10" t="s">
        <v>13</v>
      </c>
      <c r="C144" s="8">
        <v>2000</v>
      </c>
      <c r="D144" s="8"/>
      <c r="E144" s="8">
        <f t="shared" si="2"/>
        <v>8054188.3000000007</v>
      </c>
    </row>
    <row r="145" spans="1:5">
      <c r="A145" s="12">
        <v>45926</v>
      </c>
      <c r="B145" s="10" t="s">
        <v>14</v>
      </c>
      <c r="C145" s="8">
        <f>C143*0.5%</f>
        <v>10000</v>
      </c>
      <c r="D145" s="8"/>
      <c r="E145" s="8">
        <f t="shared" si="2"/>
        <v>8044188.3000000007</v>
      </c>
    </row>
    <row r="146" spans="1:5">
      <c r="A146" s="6">
        <v>45953</v>
      </c>
      <c r="B146" s="13" t="s">
        <v>9</v>
      </c>
      <c r="C146" s="14"/>
      <c r="D146" s="14">
        <v>150000</v>
      </c>
      <c r="E146" s="8">
        <f t="shared" si="2"/>
        <v>8194188.3000000007</v>
      </c>
    </row>
    <row r="147" spans="1:5">
      <c r="A147" s="6">
        <v>45982</v>
      </c>
      <c r="B147" s="13" t="s">
        <v>9</v>
      </c>
      <c r="C147" s="14"/>
      <c r="D147" s="14">
        <v>150000</v>
      </c>
      <c r="E147" s="8">
        <f t="shared" si="2"/>
        <v>8344188.3000000007</v>
      </c>
    </row>
    <row r="148" spans="1:5">
      <c r="A148" s="6">
        <v>45982</v>
      </c>
      <c r="B148" s="13" t="s">
        <v>22</v>
      </c>
      <c r="C148" s="14"/>
      <c r="D148" s="14">
        <v>2000000</v>
      </c>
      <c r="E148" s="8">
        <f t="shared" si="2"/>
        <v>10344188.300000001</v>
      </c>
    </row>
    <row r="149" spans="1:5">
      <c r="A149" s="6">
        <v>45982</v>
      </c>
      <c r="B149" s="10" t="s">
        <v>19</v>
      </c>
      <c r="C149" s="8"/>
      <c r="D149" s="8">
        <v>6064195</v>
      </c>
      <c r="E149" s="8">
        <f t="shared" si="2"/>
        <v>16408383.300000001</v>
      </c>
    </row>
    <row r="150" spans="1:5">
      <c r="A150" s="6">
        <v>45982</v>
      </c>
      <c r="B150" s="10" t="s">
        <v>12</v>
      </c>
      <c r="C150" s="8">
        <v>6064195</v>
      </c>
      <c r="D150" s="8"/>
      <c r="E150" s="8">
        <f t="shared" si="2"/>
        <v>10344188.300000001</v>
      </c>
    </row>
    <row r="151" spans="1:5">
      <c r="A151" s="6">
        <v>45982</v>
      </c>
      <c r="B151" s="10" t="s">
        <v>13</v>
      </c>
      <c r="C151" s="8">
        <v>2000</v>
      </c>
      <c r="D151" s="8"/>
      <c r="E151" s="8">
        <f t="shared" si="2"/>
        <v>10342188.300000001</v>
      </c>
    </row>
    <row r="152" spans="1:5">
      <c r="A152" s="6">
        <v>45982</v>
      </c>
      <c r="B152" s="10" t="s">
        <v>14</v>
      </c>
      <c r="C152" s="8">
        <f>C150*0.5%</f>
        <v>30320.975000000002</v>
      </c>
      <c r="D152" s="8"/>
      <c r="E152" s="8">
        <f t="shared" si="2"/>
        <v>10311867.325000001</v>
      </c>
    </row>
    <row r="153" spans="1:5">
      <c r="A153" s="6">
        <v>46010</v>
      </c>
      <c r="B153" s="13" t="s">
        <v>9</v>
      </c>
      <c r="C153" s="14"/>
      <c r="D153" s="14">
        <v>150000</v>
      </c>
      <c r="E153" s="8">
        <f t="shared" si="2"/>
        <v>10461867.325000001</v>
      </c>
    </row>
    <row r="154" spans="1:5">
      <c r="A154" s="6">
        <v>46014</v>
      </c>
      <c r="B154" s="10" t="s">
        <v>17</v>
      </c>
      <c r="C154" s="8"/>
      <c r="D154" s="8">
        <v>2000000</v>
      </c>
      <c r="E154" s="8">
        <f t="shared" si="2"/>
        <v>12461867.325000001</v>
      </c>
    </row>
    <row r="155" spans="1:5">
      <c r="A155" s="6">
        <v>46014</v>
      </c>
      <c r="B155" s="10" t="s">
        <v>12</v>
      </c>
      <c r="C155" s="8">
        <v>2000000</v>
      </c>
      <c r="D155" s="8"/>
      <c r="E155" s="8">
        <f t="shared" si="2"/>
        <v>10461867.325000001</v>
      </c>
    </row>
    <row r="156" spans="1:5">
      <c r="A156" s="6">
        <v>46014</v>
      </c>
      <c r="B156" s="10" t="s">
        <v>13</v>
      </c>
      <c r="C156" s="8">
        <v>2000</v>
      </c>
      <c r="D156" s="8"/>
      <c r="E156" s="8">
        <f t="shared" si="2"/>
        <v>10459867.325000001</v>
      </c>
    </row>
    <row r="157" spans="1:5">
      <c r="A157" s="6">
        <v>46014</v>
      </c>
      <c r="B157" s="10" t="s">
        <v>14</v>
      </c>
      <c r="C157" s="8">
        <f>C155*0.5%</f>
        <v>10000</v>
      </c>
      <c r="D157" s="8"/>
      <c r="E157" s="8">
        <f t="shared" si="2"/>
        <v>10449867.325000001</v>
      </c>
    </row>
    <row r="158" spans="1:5">
      <c r="A158" s="6">
        <v>46045</v>
      </c>
      <c r="B158" s="13" t="s">
        <v>9</v>
      </c>
      <c r="C158" s="14"/>
      <c r="D158" s="14">
        <v>150000</v>
      </c>
      <c r="E158" s="8">
        <f t="shared" si="2"/>
        <v>10599867.325000001</v>
      </c>
    </row>
    <row r="159" spans="1:5">
      <c r="A159" s="6">
        <v>46076</v>
      </c>
      <c r="B159" s="13" t="s">
        <v>9</v>
      </c>
      <c r="C159" s="14"/>
      <c r="D159" s="14">
        <v>150000</v>
      </c>
      <c r="E159" s="8">
        <f t="shared" si="2"/>
        <v>10749867.325000001</v>
      </c>
    </row>
    <row r="160" spans="1:5">
      <c r="A160" s="10"/>
      <c r="B160" s="10"/>
      <c r="C160" s="8"/>
      <c r="D160" s="8"/>
      <c r="E160" s="8">
        <f t="shared" si="2"/>
        <v>10749867.325000001</v>
      </c>
    </row>
    <row r="161" spans="1:5">
      <c r="A161" s="10"/>
      <c r="B161" s="10"/>
      <c r="C161" s="8"/>
      <c r="D161" s="8"/>
      <c r="E161" s="8">
        <f t="shared" si="2"/>
        <v>10749867.325000001</v>
      </c>
    </row>
    <row r="162" spans="1:5">
      <c r="A162" s="10"/>
      <c r="B162" s="10"/>
      <c r="C162" s="8"/>
      <c r="D162" s="8"/>
      <c r="E162" s="8">
        <f t="shared" si="2"/>
        <v>10749867.325000001</v>
      </c>
    </row>
    <row r="163" spans="1:5">
      <c r="A163" s="10"/>
      <c r="B163" s="10"/>
      <c r="C163" s="8"/>
      <c r="D163" s="8"/>
      <c r="E163" s="8">
        <f t="shared" si="2"/>
        <v>10749867.325000001</v>
      </c>
    </row>
    <row r="164" spans="1:5">
      <c r="A164" s="10"/>
      <c r="B164" s="10"/>
      <c r="C164" s="8"/>
      <c r="D164" s="8"/>
      <c r="E164" s="8">
        <f t="shared" si="2"/>
        <v>10749867.325000001</v>
      </c>
    </row>
    <row r="165" spans="1:5">
      <c r="A165" s="10"/>
      <c r="B165" s="10"/>
      <c r="C165" s="8"/>
      <c r="D165" s="8"/>
      <c r="E165" s="8">
        <f t="shared" si="2"/>
        <v>10749867.325000001</v>
      </c>
    </row>
    <row r="166" spans="1:5">
      <c r="A166" s="10"/>
      <c r="B166" s="10"/>
      <c r="C166" s="8"/>
      <c r="D166" s="8"/>
      <c r="E166" s="8">
        <f t="shared" si="2"/>
        <v>10749867.325000001</v>
      </c>
    </row>
    <row r="167" spans="1:5">
      <c r="A167" s="10"/>
      <c r="B167" s="10"/>
      <c r="C167" s="8"/>
      <c r="D167" s="8"/>
      <c r="E167" s="8">
        <f t="shared" si="2"/>
        <v>10749867.325000001</v>
      </c>
    </row>
    <row r="168" spans="1:5">
      <c r="A168" s="10"/>
      <c r="B168" s="10"/>
      <c r="C168" s="8"/>
      <c r="D168" s="8"/>
      <c r="E168" s="8"/>
    </row>
    <row r="169" spans="1:5">
      <c r="A169" s="10"/>
      <c r="B169" s="10"/>
      <c r="C169" s="8"/>
      <c r="D169" s="8"/>
      <c r="E16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Leku</dc:creator>
  <cp:lastModifiedBy>Dennis Leku</cp:lastModifiedBy>
  <dcterms:created xsi:type="dcterms:W3CDTF">2026-02-25T18:07:54Z</dcterms:created>
  <dcterms:modified xsi:type="dcterms:W3CDTF">2026-02-25T18:20:05Z</dcterms:modified>
</cp:coreProperties>
</file>