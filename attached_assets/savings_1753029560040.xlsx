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ga31865\Downloads\"/>
    </mc:Choice>
  </mc:AlternateContent>
  <xr:revisionPtr revIDLastSave="0" documentId="8_{CBFCB574-2EF5-4E5F-A5FE-627DEDA0A2FE}" xr6:coauthVersionLast="47" xr6:coauthVersionMax="47" xr10:uidLastSave="{00000000-0000-0000-0000-000000000000}"/>
  <bookViews>
    <workbookView xWindow="-108" yWindow="-108" windowWidth="23256" windowHeight="12456" xr2:uid="{E4427441-3393-43EC-BCB4-62EB58CEE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4" i="1" l="1"/>
  <c r="C118" i="1"/>
  <c r="C113" i="1"/>
  <c r="C108" i="1"/>
  <c r="C103" i="1"/>
  <c r="C99" i="1"/>
  <c r="C93" i="1"/>
  <c r="C89" i="1"/>
  <c r="C82" i="1"/>
  <c r="C77" i="1"/>
  <c r="C72" i="1"/>
  <c r="C66" i="1"/>
  <c r="C61" i="1"/>
  <c r="C56" i="1"/>
  <c r="C50" i="1"/>
  <c r="C44" i="1"/>
  <c r="C37" i="1"/>
  <c r="C29" i="1"/>
  <c r="C12" i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4" i="1"/>
  <c r="E1" i="1"/>
</calcChain>
</file>

<file path=xl/sharedStrings.xml><?xml version="1.0" encoding="utf-8"?>
<sst xmlns="http://schemas.openxmlformats.org/spreadsheetml/2006/main" count="131" uniqueCount="22">
  <si>
    <t xml:space="preserve">ACCOUNT NAME: </t>
  </si>
  <si>
    <t>CLOSING BALANCE</t>
  </si>
  <si>
    <t>ACCOUNT NUMBER:</t>
  </si>
  <si>
    <t>POSTING DATE</t>
  </si>
  <si>
    <t>DETAILS</t>
  </si>
  <si>
    <t>DEBIT AMOUNT</t>
  </si>
  <si>
    <t>CREDIT AMOUNT</t>
  </si>
  <si>
    <t>BALANCE</t>
  </si>
  <si>
    <t>MONTHLY SAVINGS</t>
  </si>
  <si>
    <t>Shares and Application fees</t>
  </si>
  <si>
    <t>Loan disbursed</t>
  </si>
  <si>
    <t>Loan acceptance</t>
  </si>
  <si>
    <t>LOAN ACCEPTANCE FEE</t>
  </si>
  <si>
    <t>LOAN APPLICATION FEE</t>
  </si>
  <si>
    <t>MONTHLY SAVINGS_One off Transfer</t>
  </si>
  <si>
    <t>SAVINGS - TRANSFER</t>
  </si>
  <si>
    <t>Loan disbursed - special</t>
  </si>
  <si>
    <t>Savings Transfer</t>
  </si>
  <si>
    <t xml:space="preserve">Loan disbursed </t>
  </si>
  <si>
    <t>Loan repayment</t>
  </si>
  <si>
    <t>Loan disbursed - topup</t>
  </si>
  <si>
    <t>LEKU DENNIS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</si>
</sst>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43" fontId="2" fillId="0" borderId="0" xfId="1" applyFont="1"/>
    <xf numFmtId="0" fontId="2" fillId="2" borderId="2" xfId="0" applyFont="1" applyFill="1" applyBorder="1"/>
    <xf numFmtId="15" fontId="0" fillId="0" borderId="2" xfId="0" applyNumberFormat="1" applyBorder="1"/>
    <xf numFmtId="0" fontId="3" fillId="0" borderId="2" xfId="0" applyFont="1" applyBorder="1"/>
    <xf numFmtId="43" fontId="0" fillId="0" borderId="2" xfId="1" applyFont="1" applyBorder="1"/>
    <xf numFmtId="164" fontId="4" fillId="0" borderId="2" xfId="2" applyFont="1" applyBorder="1"/>
    <xf numFmtId="0" fontId="0" fillId="0" borderId="2" xfId="0" applyBorder="1"/>
    <xf numFmtId="15" fontId="0" fillId="0" borderId="0" xfId="0" applyNumberFormat="1"/>
  </cellXfs>
  <cellStyles count="3">
    <cellStyle name="Comma" xfId="1" builtinId="3"/>
    <cellStyle name="Comma 2 3" xfId="2" xr:uid="{C00C0EC3-0434-4918-B52A-07955FD720B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6E51-C35A-4B40-9A1A-F67F1E6732FB}">
  <dimension ref="A1:E125"/>
  <sheetViews>
    <sheetView tabSelected="1" workbookViewId="0"/>
  </sheetViews>
  <sheetFormatPr defaultRowHeight="14.4" x14ac:dyDescent="0.3"/>
  <cols>
    <col min="1" max="1" width="17.6640625" bestFit="1" customWidth="1"/>
    <col min="2" max="2" width="31" bestFit="1" customWidth="1"/>
    <col min="3" max="3" width="14.88671875" bestFit="1" customWidth="1"/>
    <col min="4" max="4" width="18.44140625" bestFit="1" customWidth="1"/>
    <col min="5" max="5" width="14.109375" bestFit="1" customWidth="1"/>
  </cols>
  <sheetData>
    <row r="1" spans="1:5" x14ac:dyDescent="0.3">
      <c r="A1" s="1" t="s">
        <v>0</v>
      </c>
      <c r="B1" s="2" t="s">
        <v>21</v>
      </c>
      <c r="C1" s="3"/>
      <c r="D1" s="3" t="s">
        <v>1</v>
      </c>
      <c r="E1" s="3">
        <f>SUM(D4:D1094)-SUM(C4:C1094)</f>
        <v>7495188.299999997</v>
      </c>
    </row>
    <row r="2" spans="1:5" x14ac:dyDescent="0.3">
      <c r="A2" s="1" t="s">
        <v>2</v>
      </c>
      <c r="B2" s="4">
        <v>2293720357</v>
      </c>
      <c r="C2" s="3"/>
      <c r="D2" s="3"/>
      <c r="E2" s="3"/>
    </row>
    <row r="3" spans="1:5" x14ac:dyDescent="0.3">
      <c r="A3" s="1" t="s">
        <v>3</v>
      </c>
      <c r="B3" s="1" t="s">
        <v>4</v>
      </c>
      <c r="C3" s="3" t="s">
        <v>5</v>
      </c>
      <c r="D3" s="3" t="s">
        <v>6</v>
      </c>
      <c r="E3" s="3" t="s">
        <v>7</v>
      </c>
    </row>
    <row r="4" spans="1:5" x14ac:dyDescent="0.3">
      <c r="A4" s="5">
        <v>44551</v>
      </c>
      <c r="B4" s="6" t="s">
        <v>8</v>
      </c>
      <c r="C4" s="7"/>
      <c r="D4" s="7">
        <v>185000</v>
      </c>
      <c r="E4" s="7">
        <f>D4-C4</f>
        <v>185000</v>
      </c>
    </row>
    <row r="5" spans="1:5" ht="15.6" x14ac:dyDescent="0.3">
      <c r="A5" s="5">
        <v>44585</v>
      </c>
      <c r="B5" s="6" t="s">
        <v>8</v>
      </c>
      <c r="C5" s="8"/>
      <c r="D5" s="7">
        <v>150000</v>
      </c>
      <c r="E5" s="7">
        <f>E4+D5-C5</f>
        <v>335000</v>
      </c>
    </row>
    <row r="6" spans="1:5" x14ac:dyDescent="0.3">
      <c r="A6" s="5">
        <v>44221</v>
      </c>
      <c r="B6" s="9" t="s">
        <v>9</v>
      </c>
      <c r="C6" s="7">
        <v>35000</v>
      </c>
      <c r="D6" s="7"/>
      <c r="E6" s="7">
        <f t="shared" ref="E6:E69" si="0">E5+D6-C6</f>
        <v>300000</v>
      </c>
    </row>
    <row r="7" spans="1:5" x14ac:dyDescent="0.3">
      <c r="A7" s="5">
        <v>44616</v>
      </c>
      <c r="B7" s="6" t="s">
        <v>8</v>
      </c>
      <c r="C7" s="7"/>
      <c r="D7" s="7">
        <v>150000</v>
      </c>
      <c r="E7" s="7">
        <f t="shared" si="0"/>
        <v>450000</v>
      </c>
    </row>
    <row r="8" spans="1:5" x14ac:dyDescent="0.3">
      <c r="A8" s="5">
        <v>44644</v>
      </c>
      <c r="B8" s="6" t="s">
        <v>8</v>
      </c>
      <c r="C8" s="7"/>
      <c r="D8" s="7">
        <v>150000</v>
      </c>
      <c r="E8" s="7">
        <f t="shared" si="0"/>
        <v>600000</v>
      </c>
    </row>
    <row r="9" spans="1:5" x14ac:dyDescent="0.3">
      <c r="A9" s="5">
        <v>44656</v>
      </c>
      <c r="B9" s="9" t="s">
        <v>10</v>
      </c>
      <c r="C9" s="7"/>
      <c r="D9" s="7">
        <v>1500000</v>
      </c>
      <c r="E9" s="7">
        <f t="shared" si="0"/>
        <v>2100000</v>
      </c>
    </row>
    <row r="10" spans="1:5" x14ac:dyDescent="0.3">
      <c r="A10" s="5">
        <v>44656</v>
      </c>
      <c r="B10" s="9" t="s">
        <v>11</v>
      </c>
      <c r="C10" s="7">
        <v>1500000</v>
      </c>
      <c r="D10" s="7"/>
      <c r="E10" s="7">
        <f t="shared" si="0"/>
        <v>600000</v>
      </c>
    </row>
    <row r="11" spans="1:5" x14ac:dyDescent="0.3">
      <c r="A11" s="5">
        <v>44656</v>
      </c>
      <c r="B11" s="9" t="s">
        <v>12</v>
      </c>
      <c r="C11" s="7">
        <v>2000</v>
      </c>
      <c r="D11" s="7"/>
      <c r="E11" s="7">
        <f t="shared" si="0"/>
        <v>598000</v>
      </c>
    </row>
    <row r="12" spans="1:5" x14ac:dyDescent="0.3">
      <c r="A12" s="5">
        <v>44656</v>
      </c>
      <c r="B12" s="9" t="s">
        <v>13</v>
      </c>
      <c r="C12" s="7">
        <f>C10*0.5%</f>
        <v>7500</v>
      </c>
      <c r="D12" s="7"/>
      <c r="E12" s="7">
        <f t="shared" si="0"/>
        <v>590500</v>
      </c>
    </row>
    <row r="13" spans="1:5" x14ac:dyDescent="0.3">
      <c r="A13" s="5">
        <v>44677</v>
      </c>
      <c r="B13" s="6" t="s">
        <v>8</v>
      </c>
      <c r="C13" s="7"/>
      <c r="D13" s="7">
        <v>150000</v>
      </c>
      <c r="E13" s="7">
        <f t="shared" si="0"/>
        <v>740500</v>
      </c>
    </row>
    <row r="14" spans="1:5" x14ac:dyDescent="0.3">
      <c r="A14" s="5">
        <v>44704</v>
      </c>
      <c r="B14" s="6" t="s">
        <v>8</v>
      </c>
      <c r="C14" s="7"/>
      <c r="D14" s="7">
        <v>150000</v>
      </c>
      <c r="E14" s="7">
        <f t="shared" si="0"/>
        <v>890500</v>
      </c>
    </row>
    <row r="15" spans="1:5" x14ac:dyDescent="0.3">
      <c r="A15" s="5">
        <v>44737</v>
      </c>
      <c r="B15" s="6" t="s">
        <v>8</v>
      </c>
      <c r="C15" s="7"/>
      <c r="D15" s="7">
        <v>150000</v>
      </c>
      <c r="E15" s="7">
        <f t="shared" si="0"/>
        <v>1040500</v>
      </c>
    </row>
    <row r="16" spans="1:5" x14ac:dyDescent="0.3">
      <c r="A16" s="5">
        <v>44764</v>
      </c>
      <c r="B16" s="9" t="s">
        <v>8</v>
      </c>
      <c r="C16" s="7"/>
      <c r="D16" s="7">
        <v>150000</v>
      </c>
      <c r="E16" s="7">
        <f t="shared" si="0"/>
        <v>1190500</v>
      </c>
    </row>
    <row r="17" spans="1:5" x14ac:dyDescent="0.3">
      <c r="A17" s="5">
        <v>44797</v>
      </c>
      <c r="B17" s="9" t="s">
        <v>8</v>
      </c>
      <c r="C17" s="7"/>
      <c r="D17" s="7">
        <v>150000</v>
      </c>
      <c r="E17" s="7">
        <f t="shared" si="0"/>
        <v>1340500</v>
      </c>
    </row>
    <row r="18" spans="1:5" x14ac:dyDescent="0.3">
      <c r="A18" s="5">
        <v>44819</v>
      </c>
      <c r="B18" s="9" t="s">
        <v>14</v>
      </c>
      <c r="C18" s="7"/>
      <c r="D18" s="7">
        <v>1000000</v>
      </c>
      <c r="E18" s="7">
        <f t="shared" si="0"/>
        <v>2340500</v>
      </c>
    </row>
    <row r="19" spans="1:5" x14ac:dyDescent="0.3">
      <c r="A19" s="5">
        <v>44827</v>
      </c>
      <c r="B19" s="9" t="s">
        <v>8</v>
      </c>
      <c r="C19" s="7"/>
      <c r="D19" s="7">
        <v>150000</v>
      </c>
      <c r="E19" s="7">
        <f t="shared" si="0"/>
        <v>2490500</v>
      </c>
    </row>
    <row r="20" spans="1:5" x14ac:dyDescent="0.3">
      <c r="A20" s="5">
        <v>44855</v>
      </c>
      <c r="B20" s="9" t="s">
        <v>8</v>
      </c>
      <c r="C20" s="7"/>
      <c r="D20" s="7">
        <v>150000</v>
      </c>
      <c r="E20" s="7">
        <f t="shared" si="0"/>
        <v>2640500</v>
      </c>
    </row>
    <row r="21" spans="1:5" x14ac:dyDescent="0.3">
      <c r="A21" s="5">
        <v>44888</v>
      </c>
      <c r="B21" s="9" t="s">
        <v>8</v>
      </c>
      <c r="C21" s="7"/>
      <c r="D21" s="7">
        <v>150000</v>
      </c>
      <c r="E21" s="7">
        <f t="shared" si="0"/>
        <v>2790500</v>
      </c>
    </row>
    <row r="22" spans="1:5" x14ac:dyDescent="0.3">
      <c r="A22" s="5">
        <v>44915</v>
      </c>
      <c r="B22" s="9" t="s">
        <v>8</v>
      </c>
      <c r="C22" s="7"/>
      <c r="D22" s="7">
        <v>150000</v>
      </c>
      <c r="E22" s="7">
        <f t="shared" si="0"/>
        <v>2940500</v>
      </c>
    </row>
    <row r="23" spans="1:5" x14ac:dyDescent="0.3">
      <c r="A23" s="5">
        <v>44949</v>
      </c>
      <c r="B23" s="9" t="s">
        <v>8</v>
      </c>
      <c r="C23" s="7"/>
      <c r="D23" s="7">
        <v>150000</v>
      </c>
      <c r="E23" s="7">
        <f t="shared" si="0"/>
        <v>3090500</v>
      </c>
    </row>
    <row r="24" spans="1:5" x14ac:dyDescent="0.3">
      <c r="A24" s="5">
        <v>44980</v>
      </c>
      <c r="B24" s="9" t="s">
        <v>8</v>
      </c>
      <c r="C24" s="7"/>
      <c r="D24" s="7">
        <v>150000</v>
      </c>
      <c r="E24" s="7">
        <f t="shared" si="0"/>
        <v>3240500</v>
      </c>
    </row>
    <row r="25" spans="1:5" x14ac:dyDescent="0.3">
      <c r="A25" s="5">
        <v>45008</v>
      </c>
      <c r="B25" s="9" t="s">
        <v>8</v>
      </c>
      <c r="C25" s="7"/>
      <c r="D25" s="7">
        <v>150000</v>
      </c>
      <c r="E25" s="7">
        <f t="shared" si="0"/>
        <v>3390500</v>
      </c>
    </row>
    <row r="26" spans="1:5" x14ac:dyDescent="0.3">
      <c r="A26" s="5">
        <v>45034</v>
      </c>
      <c r="B26" s="9" t="s">
        <v>10</v>
      </c>
      <c r="C26" s="7"/>
      <c r="D26" s="7">
        <v>4000000</v>
      </c>
      <c r="E26" s="7">
        <f t="shared" si="0"/>
        <v>7390500</v>
      </c>
    </row>
    <row r="27" spans="1:5" x14ac:dyDescent="0.3">
      <c r="A27" s="5">
        <v>45034</v>
      </c>
      <c r="B27" s="9" t="s">
        <v>11</v>
      </c>
      <c r="C27" s="7">
        <v>4000000</v>
      </c>
      <c r="D27" s="7"/>
      <c r="E27" s="7">
        <f t="shared" si="0"/>
        <v>3390500</v>
      </c>
    </row>
    <row r="28" spans="1:5" x14ac:dyDescent="0.3">
      <c r="A28" s="5">
        <v>45034</v>
      </c>
      <c r="B28" s="9" t="s">
        <v>12</v>
      </c>
      <c r="C28" s="7">
        <v>2000</v>
      </c>
      <c r="D28" s="7"/>
      <c r="E28" s="7">
        <f t="shared" si="0"/>
        <v>3388500</v>
      </c>
    </row>
    <row r="29" spans="1:5" x14ac:dyDescent="0.3">
      <c r="A29" s="5">
        <v>45034</v>
      </c>
      <c r="B29" s="9" t="s">
        <v>13</v>
      </c>
      <c r="C29" s="7">
        <f>C27*0.5%</f>
        <v>20000</v>
      </c>
      <c r="D29" s="7"/>
      <c r="E29" s="7">
        <f t="shared" si="0"/>
        <v>3368500</v>
      </c>
    </row>
    <row r="30" spans="1:5" x14ac:dyDescent="0.3">
      <c r="A30" s="5">
        <v>45036</v>
      </c>
      <c r="B30" s="9" t="s">
        <v>8</v>
      </c>
      <c r="C30" s="7"/>
      <c r="D30" s="7">
        <v>150000</v>
      </c>
      <c r="E30" s="7">
        <f t="shared" si="0"/>
        <v>3518500</v>
      </c>
    </row>
    <row r="31" spans="1:5" x14ac:dyDescent="0.3">
      <c r="A31" s="5">
        <v>45069</v>
      </c>
      <c r="B31" s="9" t="s">
        <v>8</v>
      </c>
      <c r="C31" s="7"/>
      <c r="D31" s="7">
        <v>150000</v>
      </c>
      <c r="E31" s="7">
        <f t="shared" si="0"/>
        <v>3668500</v>
      </c>
    </row>
    <row r="32" spans="1:5" x14ac:dyDescent="0.3">
      <c r="A32" s="5">
        <v>45100</v>
      </c>
      <c r="B32" s="9" t="s">
        <v>8</v>
      </c>
      <c r="C32" s="7"/>
      <c r="D32" s="7">
        <v>150000</v>
      </c>
      <c r="E32" s="7">
        <f t="shared" si="0"/>
        <v>3818500</v>
      </c>
    </row>
    <row r="33" spans="1:5" x14ac:dyDescent="0.3">
      <c r="A33" s="5">
        <v>45104</v>
      </c>
      <c r="B33" s="9" t="s">
        <v>15</v>
      </c>
      <c r="C33" s="7"/>
      <c r="D33" s="7">
        <v>500000</v>
      </c>
      <c r="E33" s="7">
        <f t="shared" si="0"/>
        <v>4318500</v>
      </c>
    </row>
    <row r="34" spans="1:5" x14ac:dyDescent="0.3">
      <c r="A34" s="5">
        <v>45107</v>
      </c>
      <c r="B34" s="9" t="s">
        <v>10</v>
      </c>
      <c r="C34" s="7"/>
      <c r="D34" s="7">
        <v>4000000</v>
      </c>
      <c r="E34" s="7">
        <f t="shared" si="0"/>
        <v>8318500</v>
      </c>
    </row>
    <row r="35" spans="1:5" x14ac:dyDescent="0.3">
      <c r="A35" s="5">
        <v>45107</v>
      </c>
      <c r="B35" s="9" t="s">
        <v>11</v>
      </c>
      <c r="C35" s="7">
        <v>4000000</v>
      </c>
      <c r="D35" s="7"/>
      <c r="E35" s="7">
        <f t="shared" si="0"/>
        <v>4318500</v>
      </c>
    </row>
    <row r="36" spans="1:5" x14ac:dyDescent="0.3">
      <c r="A36" s="5">
        <v>45107</v>
      </c>
      <c r="B36" s="9" t="s">
        <v>12</v>
      </c>
      <c r="C36" s="7">
        <v>2000</v>
      </c>
      <c r="D36" s="7"/>
      <c r="E36" s="7">
        <f t="shared" si="0"/>
        <v>4316500</v>
      </c>
    </row>
    <row r="37" spans="1:5" x14ac:dyDescent="0.3">
      <c r="A37" s="5">
        <v>45107</v>
      </c>
      <c r="B37" s="9" t="s">
        <v>13</v>
      </c>
      <c r="C37" s="7">
        <f>C35*0.5%</f>
        <v>20000</v>
      </c>
      <c r="D37" s="7"/>
      <c r="E37" s="7">
        <f t="shared" si="0"/>
        <v>4296500</v>
      </c>
    </row>
    <row r="38" spans="1:5" x14ac:dyDescent="0.3">
      <c r="A38" s="5">
        <v>45128</v>
      </c>
      <c r="B38" s="9" t="s">
        <v>8</v>
      </c>
      <c r="C38" s="7"/>
      <c r="D38" s="7">
        <v>150000</v>
      </c>
      <c r="E38" s="7">
        <f t="shared" si="0"/>
        <v>4446500</v>
      </c>
    </row>
    <row r="39" spans="1:5" x14ac:dyDescent="0.3">
      <c r="A39" s="5">
        <v>45161</v>
      </c>
      <c r="B39" s="9" t="s">
        <v>8</v>
      </c>
      <c r="C39" s="7"/>
      <c r="D39" s="7">
        <v>150000</v>
      </c>
      <c r="E39" s="7">
        <f t="shared" si="0"/>
        <v>4596500</v>
      </c>
    </row>
    <row r="40" spans="1:5" x14ac:dyDescent="0.3">
      <c r="A40" s="5">
        <v>45191</v>
      </c>
      <c r="B40" s="9" t="s">
        <v>8</v>
      </c>
      <c r="C40" s="7"/>
      <c r="D40" s="7">
        <v>150000</v>
      </c>
      <c r="E40" s="7">
        <f t="shared" si="0"/>
        <v>4746500</v>
      </c>
    </row>
    <row r="41" spans="1:5" x14ac:dyDescent="0.3">
      <c r="A41" s="5">
        <v>45202</v>
      </c>
      <c r="B41" s="9" t="s">
        <v>10</v>
      </c>
      <c r="C41" s="7"/>
      <c r="D41" s="7">
        <v>4500000</v>
      </c>
      <c r="E41" s="7">
        <f t="shared" si="0"/>
        <v>9246500</v>
      </c>
    </row>
    <row r="42" spans="1:5" x14ac:dyDescent="0.3">
      <c r="A42" s="5">
        <v>45202</v>
      </c>
      <c r="B42" s="9" t="s">
        <v>11</v>
      </c>
      <c r="C42" s="7">
        <v>4500000</v>
      </c>
      <c r="D42" s="7"/>
      <c r="E42" s="7">
        <f t="shared" si="0"/>
        <v>4746500</v>
      </c>
    </row>
    <row r="43" spans="1:5" x14ac:dyDescent="0.3">
      <c r="A43" s="5">
        <v>45202</v>
      </c>
      <c r="B43" s="9" t="s">
        <v>12</v>
      </c>
      <c r="C43" s="7">
        <v>2000</v>
      </c>
      <c r="D43" s="7"/>
      <c r="E43" s="7">
        <f t="shared" si="0"/>
        <v>4744500</v>
      </c>
    </row>
    <row r="44" spans="1:5" x14ac:dyDescent="0.3">
      <c r="A44" s="5">
        <v>45202</v>
      </c>
      <c r="B44" s="9" t="s">
        <v>13</v>
      </c>
      <c r="C44" s="7">
        <f>C42*0.5%</f>
        <v>22500</v>
      </c>
      <c r="D44" s="7"/>
      <c r="E44" s="7">
        <f t="shared" si="0"/>
        <v>4722000</v>
      </c>
    </row>
    <row r="45" spans="1:5" x14ac:dyDescent="0.3">
      <c r="A45" s="5">
        <v>45222</v>
      </c>
      <c r="B45" s="9" t="s">
        <v>8</v>
      </c>
      <c r="C45" s="7"/>
      <c r="D45" s="7">
        <v>150000</v>
      </c>
      <c r="E45" s="7">
        <f t="shared" si="0"/>
        <v>4872000</v>
      </c>
    </row>
    <row r="46" spans="1:5" x14ac:dyDescent="0.3">
      <c r="A46" s="5">
        <v>45253</v>
      </c>
      <c r="B46" s="9" t="s">
        <v>8</v>
      </c>
      <c r="C46" s="7"/>
      <c r="D46" s="7">
        <v>150000</v>
      </c>
      <c r="E46" s="7">
        <f t="shared" si="0"/>
        <v>5022000</v>
      </c>
    </row>
    <row r="47" spans="1:5" x14ac:dyDescent="0.3">
      <c r="A47" s="5">
        <v>45257</v>
      </c>
      <c r="B47" s="9" t="s">
        <v>16</v>
      </c>
      <c r="C47" s="7"/>
      <c r="D47" s="7">
        <v>2000000</v>
      </c>
      <c r="E47" s="7">
        <f t="shared" si="0"/>
        <v>7022000</v>
      </c>
    </row>
    <row r="48" spans="1:5" x14ac:dyDescent="0.3">
      <c r="A48" s="5">
        <v>45257</v>
      </c>
      <c r="B48" s="9" t="s">
        <v>11</v>
      </c>
      <c r="C48" s="7">
        <v>2000000</v>
      </c>
      <c r="D48" s="7"/>
      <c r="E48" s="7">
        <f t="shared" si="0"/>
        <v>5022000</v>
      </c>
    </row>
    <row r="49" spans="1:5" x14ac:dyDescent="0.3">
      <c r="A49" s="5">
        <v>45257</v>
      </c>
      <c r="B49" s="9" t="s">
        <v>12</v>
      </c>
      <c r="C49" s="7">
        <v>2000</v>
      </c>
      <c r="D49" s="7"/>
      <c r="E49" s="7">
        <f t="shared" si="0"/>
        <v>5020000</v>
      </c>
    </row>
    <row r="50" spans="1:5" x14ac:dyDescent="0.3">
      <c r="A50" s="5">
        <v>45257</v>
      </c>
      <c r="B50" s="9" t="s">
        <v>13</v>
      </c>
      <c r="C50" s="7">
        <f>C48*0.5%</f>
        <v>10000</v>
      </c>
      <c r="D50" s="7"/>
      <c r="E50" s="7">
        <f t="shared" si="0"/>
        <v>5010000</v>
      </c>
    </row>
    <row r="51" spans="1:5" x14ac:dyDescent="0.3">
      <c r="A51" s="5">
        <v>45280</v>
      </c>
      <c r="B51" s="9" t="s">
        <v>8</v>
      </c>
      <c r="C51" s="7"/>
      <c r="D51" s="7">
        <v>150000</v>
      </c>
      <c r="E51" s="7">
        <f t="shared" si="0"/>
        <v>5160000</v>
      </c>
    </row>
    <row r="52" spans="1:5" x14ac:dyDescent="0.3">
      <c r="A52" s="5">
        <v>45280</v>
      </c>
      <c r="B52" s="9" t="s">
        <v>17</v>
      </c>
      <c r="C52" s="7"/>
      <c r="D52" s="7">
        <v>1500000</v>
      </c>
      <c r="E52" s="7">
        <f t="shared" si="0"/>
        <v>6660000</v>
      </c>
    </row>
    <row r="53" spans="1:5" x14ac:dyDescent="0.3">
      <c r="A53" s="5">
        <v>45281</v>
      </c>
      <c r="B53" s="9" t="s">
        <v>16</v>
      </c>
      <c r="C53" s="7"/>
      <c r="D53" s="7">
        <v>6000000</v>
      </c>
      <c r="E53" s="7">
        <f t="shared" si="0"/>
        <v>12660000</v>
      </c>
    </row>
    <row r="54" spans="1:5" x14ac:dyDescent="0.3">
      <c r="A54" s="5">
        <v>45281</v>
      </c>
      <c r="B54" s="9" t="s">
        <v>11</v>
      </c>
      <c r="C54" s="7">
        <v>6000000</v>
      </c>
      <c r="D54" s="7"/>
      <c r="E54" s="7">
        <f t="shared" si="0"/>
        <v>6660000</v>
      </c>
    </row>
    <row r="55" spans="1:5" x14ac:dyDescent="0.3">
      <c r="A55" s="5">
        <v>45281</v>
      </c>
      <c r="B55" s="9" t="s">
        <v>12</v>
      </c>
      <c r="C55" s="7">
        <v>2000</v>
      </c>
      <c r="D55" s="7"/>
      <c r="E55" s="7">
        <f t="shared" si="0"/>
        <v>6658000</v>
      </c>
    </row>
    <row r="56" spans="1:5" x14ac:dyDescent="0.3">
      <c r="A56" s="5">
        <v>45281</v>
      </c>
      <c r="B56" s="9" t="s">
        <v>13</v>
      </c>
      <c r="C56" s="7">
        <f>C54*0.5%</f>
        <v>30000</v>
      </c>
      <c r="D56" s="7"/>
      <c r="E56" s="7">
        <f t="shared" si="0"/>
        <v>6628000</v>
      </c>
    </row>
    <row r="57" spans="1:5" x14ac:dyDescent="0.3">
      <c r="A57" s="5">
        <v>45314</v>
      </c>
      <c r="B57" s="9" t="s">
        <v>8</v>
      </c>
      <c r="C57" s="7"/>
      <c r="D57" s="7">
        <v>150000</v>
      </c>
      <c r="E57" s="7">
        <f t="shared" si="0"/>
        <v>6778000</v>
      </c>
    </row>
    <row r="58" spans="1:5" x14ac:dyDescent="0.3">
      <c r="A58" s="5">
        <v>45330</v>
      </c>
      <c r="B58" s="9" t="s">
        <v>16</v>
      </c>
      <c r="C58" s="7"/>
      <c r="D58" s="7">
        <v>2000000</v>
      </c>
      <c r="E58" s="7">
        <f t="shared" si="0"/>
        <v>8778000</v>
      </c>
    </row>
    <row r="59" spans="1:5" x14ac:dyDescent="0.3">
      <c r="A59" s="5">
        <v>45330</v>
      </c>
      <c r="B59" s="9" t="s">
        <v>11</v>
      </c>
      <c r="C59" s="7">
        <v>2000000</v>
      </c>
      <c r="D59" s="7"/>
      <c r="E59" s="7">
        <f t="shared" si="0"/>
        <v>6778000</v>
      </c>
    </row>
    <row r="60" spans="1:5" x14ac:dyDescent="0.3">
      <c r="A60" s="5">
        <v>45330</v>
      </c>
      <c r="B60" s="9" t="s">
        <v>12</v>
      </c>
      <c r="C60" s="7">
        <v>2000</v>
      </c>
      <c r="D60" s="7"/>
      <c r="E60" s="7">
        <f t="shared" si="0"/>
        <v>6776000</v>
      </c>
    </row>
    <row r="61" spans="1:5" x14ac:dyDescent="0.3">
      <c r="A61" s="5">
        <v>45330</v>
      </c>
      <c r="B61" s="9" t="s">
        <v>13</v>
      </c>
      <c r="C61" s="7">
        <f>C59*0.5%</f>
        <v>10000</v>
      </c>
      <c r="D61" s="7"/>
      <c r="E61" s="7">
        <f t="shared" si="0"/>
        <v>6766000</v>
      </c>
    </row>
    <row r="62" spans="1:5" x14ac:dyDescent="0.3">
      <c r="A62" s="5">
        <v>45345</v>
      </c>
      <c r="B62" s="9" t="s">
        <v>8</v>
      </c>
      <c r="C62" s="7"/>
      <c r="D62" s="7">
        <v>150000</v>
      </c>
      <c r="E62" s="7">
        <f t="shared" si="0"/>
        <v>6916000</v>
      </c>
    </row>
    <row r="63" spans="1:5" x14ac:dyDescent="0.3">
      <c r="A63" s="5">
        <v>45357</v>
      </c>
      <c r="B63" s="9" t="s">
        <v>18</v>
      </c>
      <c r="C63" s="7"/>
      <c r="D63" s="7">
        <v>3000000</v>
      </c>
      <c r="E63" s="7">
        <f t="shared" si="0"/>
        <v>9916000</v>
      </c>
    </row>
    <row r="64" spans="1:5" x14ac:dyDescent="0.3">
      <c r="A64" s="5">
        <v>45357</v>
      </c>
      <c r="B64" s="9" t="s">
        <v>11</v>
      </c>
      <c r="C64" s="7">
        <v>3000000</v>
      </c>
      <c r="D64" s="7"/>
      <c r="E64" s="7">
        <f t="shared" si="0"/>
        <v>6916000</v>
      </c>
    </row>
    <row r="65" spans="1:5" x14ac:dyDescent="0.3">
      <c r="A65" s="5">
        <v>45357</v>
      </c>
      <c r="B65" s="9" t="s">
        <v>12</v>
      </c>
      <c r="C65" s="7">
        <v>2000</v>
      </c>
      <c r="D65" s="7"/>
      <c r="E65" s="7">
        <f t="shared" si="0"/>
        <v>6914000</v>
      </c>
    </row>
    <row r="66" spans="1:5" x14ac:dyDescent="0.3">
      <c r="A66" s="5">
        <v>45357</v>
      </c>
      <c r="B66" s="9" t="s">
        <v>13</v>
      </c>
      <c r="C66" s="7">
        <f>C64*0.5%</f>
        <v>15000</v>
      </c>
      <c r="D66" s="7"/>
      <c r="E66" s="7">
        <f t="shared" si="0"/>
        <v>6899000</v>
      </c>
    </row>
    <row r="67" spans="1:5" x14ac:dyDescent="0.3">
      <c r="A67" s="5">
        <v>45373</v>
      </c>
      <c r="B67" s="9" t="s">
        <v>8</v>
      </c>
      <c r="C67" s="7"/>
      <c r="D67" s="7">
        <v>150000</v>
      </c>
      <c r="E67" s="7">
        <f t="shared" si="0"/>
        <v>7049000</v>
      </c>
    </row>
    <row r="68" spans="1:5" x14ac:dyDescent="0.3">
      <c r="A68" s="5">
        <v>45405</v>
      </c>
      <c r="B68" s="9" t="s">
        <v>8</v>
      </c>
      <c r="C68" s="7"/>
      <c r="D68" s="7">
        <v>150000</v>
      </c>
      <c r="E68" s="7">
        <f t="shared" si="0"/>
        <v>7199000</v>
      </c>
    </row>
    <row r="69" spans="1:5" x14ac:dyDescent="0.3">
      <c r="A69" s="5">
        <v>45406</v>
      </c>
      <c r="B69" s="9" t="s">
        <v>16</v>
      </c>
      <c r="C69" s="7"/>
      <c r="D69" s="7">
        <v>2000000</v>
      </c>
      <c r="E69" s="7">
        <f t="shared" si="0"/>
        <v>9199000</v>
      </c>
    </row>
    <row r="70" spans="1:5" x14ac:dyDescent="0.3">
      <c r="A70" s="5">
        <v>45406</v>
      </c>
      <c r="B70" s="9" t="s">
        <v>11</v>
      </c>
      <c r="C70" s="7">
        <v>2000000</v>
      </c>
      <c r="D70" s="7"/>
      <c r="E70" s="7">
        <f t="shared" ref="E70:E125" si="1">E69+D70-C70</f>
        <v>7199000</v>
      </c>
    </row>
    <row r="71" spans="1:5" x14ac:dyDescent="0.3">
      <c r="A71" s="5">
        <v>45406</v>
      </c>
      <c r="B71" s="9" t="s">
        <v>12</v>
      </c>
      <c r="C71" s="7">
        <v>2000</v>
      </c>
      <c r="D71" s="7"/>
      <c r="E71" s="7">
        <f t="shared" si="1"/>
        <v>7197000</v>
      </c>
    </row>
    <row r="72" spans="1:5" x14ac:dyDescent="0.3">
      <c r="A72" s="5">
        <v>45406</v>
      </c>
      <c r="B72" s="9" t="s">
        <v>13</v>
      </c>
      <c r="C72" s="7">
        <f>C70*0.5%</f>
        <v>10000</v>
      </c>
      <c r="D72" s="7"/>
      <c r="E72" s="7">
        <f t="shared" si="1"/>
        <v>7187000</v>
      </c>
    </row>
    <row r="73" spans="1:5" x14ac:dyDescent="0.3">
      <c r="A73" s="5">
        <v>45415</v>
      </c>
      <c r="B73" s="9" t="s">
        <v>19</v>
      </c>
      <c r="C73" s="7">
        <v>1354761.7</v>
      </c>
      <c r="D73" s="7"/>
      <c r="E73" s="7">
        <f t="shared" si="1"/>
        <v>5832238.2999999998</v>
      </c>
    </row>
    <row r="74" spans="1:5" x14ac:dyDescent="0.3">
      <c r="A74" s="5">
        <v>45418</v>
      </c>
      <c r="B74" s="9" t="s">
        <v>18</v>
      </c>
      <c r="C74" s="7"/>
      <c r="D74" s="7">
        <v>4500000</v>
      </c>
      <c r="E74" s="7">
        <f t="shared" si="1"/>
        <v>10332238.300000001</v>
      </c>
    </row>
    <row r="75" spans="1:5" x14ac:dyDescent="0.3">
      <c r="A75" s="5">
        <v>45418</v>
      </c>
      <c r="B75" s="9" t="s">
        <v>11</v>
      </c>
      <c r="C75" s="7">
        <v>4500000</v>
      </c>
      <c r="D75" s="7"/>
      <c r="E75" s="7">
        <f t="shared" si="1"/>
        <v>5832238.3000000007</v>
      </c>
    </row>
    <row r="76" spans="1:5" x14ac:dyDescent="0.3">
      <c r="A76" s="5">
        <v>45418</v>
      </c>
      <c r="B76" s="9" t="s">
        <v>12</v>
      </c>
      <c r="C76" s="7">
        <v>2000</v>
      </c>
      <c r="D76" s="7"/>
      <c r="E76" s="7">
        <f t="shared" si="1"/>
        <v>5830238.3000000007</v>
      </c>
    </row>
    <row r="77" spans="1:5" x14ac:dyDescent="0.3">
      <c r="A77" s="5">
        <v>45418</v>
      </c>
      <c r="B77" s="9" t="s">
        <v>13</v>
      </c>
      <c r="C77" s="7">
        <f>C75*0.5%</f>
        <v>22500</v>
      </c>
      <c r="D77" s="7"/>
      <c r="E77" s="7">
        <f t="shared" si="1"/>
        <v>5807738.3000000007</v>
      </c>
    </row>
    <row r="78" spans="1:5" x14ac:dyDescent="0.3">
      <c r="A78" s="5">
        <v>45435</v>
      </c>
      <c r="B78" s="9" t="s">
        <v>8</v>
      </c>
      <c r="C78" s="7"/>
      <c r="D78" s="7">
        <v>150000</v>
      </c>
      <c r="E78" s="7">
        <f t="shared" si="1"/>
        <v>5957738.3000000007</v>
      </c>
    </row>
    <row r="79" spans="1:5" x14ac:dyDescent="0.3">
      <c r="A79" s="5">
        <v>45464</v>
      </c>
      <c r="B79" s="9" t="s">
        <v>16</v>
      </c>
      <c r="C79" s="7"/>
      <c r="D79" s="7">
        <v>2000000</v>
      </c>
      <c r="E79" s="7">
        <f t="shared" si="1"/>
        <v>7957738.3000000007</v>
      </c>
    </row>
    <row r="80" spans="1:5" x14ac:dyDescent="0.3">
      <c r="A80" s="5">
        <v>45464</v>
      </c>
      <c r="B80" s="9" t="s">
        <v>11</v>
      </c>
      <c r="C80" s="7">
        <v>2000000</v>
      </c>
      <c r="D80" s="7"/>
      <c r="E80" s="7">
        <f t="shared" si="1"/>
        <v>5957738.3000000007</v>
      </c>
    </row>
    <row r="81" spans="1:5" x14ac:dyDescent="0.3">
      <c r="A81" s="5">
        <v>45464</v>
      </c>
      <c r="B81" s="9" t="s">
        <v>12</v>
      </c>
      <c r="C81" s="7">
        <v>2000</v>
      </c>
      <c r="D81" s="7"/>
      <c r="E81" s="7">
        <f t="shared" si="1"/>
        <v>5955738.3000000007</v>
      </c>
    </row>
    <row r="82" spans="1:5" x14ac:dyDescent="0.3">
      <c r="A82" s="5">
        <v>45464</v>
      </c>
      <c r="B82" s="9" t="s">
        <v>13</v>
      </c>
      <c r="C82" s="7">
        <f>C80*0.5%</f>
        <v>10000</v>
      </c>
      <c r="D82" s="7"/>
      <c r="E82" s="7">
        <f t="shared" si="1"/>
        <v>5945738.3000000007</v>
      </c>
    </row>
    <row r="83" spans="1:5" x14ac:dyDescent="0.3">
      <c r="A83" s="5">
        <v>45465</v>
      </c>
      <c r="B83" s="9" t="s">
        <v>8</v>
      </c>
      <c r="C83" s="7"/>
      <c r="D83" s="7">
        <v>150000</v>
      </c>
      <c r="E83" s="7">
        <f t="shared" si="1"/>
        <v>6095738.3000000007</v>
      </c>
    </row>
    <row r="84" spans="1:5" x14ac:dyDescent="0.3">
      <c r="A84" s="5">
        <v>45496</v>
      </c>
      <c r="B84" s="9" t="s">
        <v>8</v>
      </c>
      <c r="C84" s="7"/>
      <c r="D84" s="7">
        <v>150000</v>
      </c>
      <c r="E84" s="7">
        <f t="shared" si="1"/>
        <v>6245738.3000000007</v>
      </c>
    </row>
    <row r="85" spans="1:5" x14ac:dyDescent="0.3">
      <c r="A85" s="5">
        <v>45527</v>
      </c>
      <c r="B85" s="9" t="s">
        <v>8</v>
      </c>
      <c r="C85" s="7"/>
      <c r="D85" s="7">
        <v>150000</v>
      </c>
      <c r="E85" s="7">
        <f t="shared" si="1"/>
        <v>6395738.3000000007</v>
      </c>
    </row>
    <row r="86" spans="1:5" x14ac:dyDescent="0.3">
      <c r="A86" s="5">
        <v>45530</v>
      </c>
      <c r="B86" s="9" t="s">
        <v>16</v>
      </c>
      <c r="C86" s="7"/>
      <c r="D86" s="7">
        <v>2000000</v>
      </c>
      <c r="E86" s="7">
        <f t="shared" si="1"/>
        <v>8395738.3000000007</v>
      </c>
    </row>
    <row r="87" spans="1:5" x14ac:dyDescent="0.3">
      <c r="A87" s="5">
        <v>45530</v>
      </c>
      <c r="B87" s="9" t="s">
        <v>11</v>
      </c>
      <c r="C87" s="7">
        <v>2000000</v>
      </c>
      <c r="D87" s="7"/>
      <c r="E87" s="7">
        <f t="shared" si="1"/>
        <v>6395738.3000000007</v>
      </c>
    </row>
    <row r="88" spans="1:5" x14ac:dyDescent="0.3">
      <c r="A88" s="5">
        <v>45530</v>
      </c>
      <c r="B88" s="9" t="s">
        <v>12</v>
      </c>
      <c r="C88" s="7">
        <v>2000</v>
      </c>
      <c r="D88" s="7"/>
      <c r="E88" s="7">
        <f t="shared" si="1"/>
        <v>6393738.3000000007</v>
      </c>
    </row>
    <row r="89" spans="1:5" x14ac:dyDescent="0.3">
      <c r="A89" s="5">
        <v>45530</v>
      </c>
      <c r="B89" s="9" t="s">
        <v>13</v>
      </c>
      <c r="C89" s="7">
        <f>C87*0.5%</f>
        <v>10000</v>
      </c>
      <c r="D89" s="7"/>
      <c r="E89" s="7">
        <f t="shared" si="1"/>
        <v>6383738.3000000007</v>
      </c>
    </row>
    <row r="90" spans="1:5" x14ac:dyDescent="0.3">
      <c r="A90" s="5">
        <v>45540</v>
      </c>
      <c r="B90" s="9" t="s">
        <v>20</v>
      </c>
      <c r="C90" s="7"/>
      <c r="D90" s="7">
        <v>2800000</v>
      </c>
      <c r="E90" s="7">
        <f t="shared" si="1"/>
        <v>9183738.3000000007</v>
      </c>
    </row>
    <row r="91" spans="1:5" x14ac:dyDescent="0.3">
      <c r="A91" s="5">
        <v>45540</v>
      </c>
      <c r="B91" s="9" t="s">
        <v>11</v>
      </c>
      <c r="C91" s="7">
        <v>2800000</v>
      </c>
      <c r="D91" s="7"/>
      <c r="E91" s="7">
        <f t="shared" si="1"/>
        <v>6383738.3000000007</v>
      </c>
    </row>
    <row r="92" spans="1:5" x14ac:dyDescent="0.3">
      <c r="A92" s="5">
        <v>45540</v>
      </c>
      <c r="B92" s="9" t="s">
        <v>12</v>
      </c>
      <c r="C92" s="7">
        <v>2000</v>
      </c>
      <c r="D92" s="7"/>
      <c r="E92" s="7">
        <f t="shared" si="1"/>
        <v>6381738.3000000007</v>
      </c>
    </row>
    <row r="93" spans="1:5" x14ac:dyDescent="0.3">
      <c r="A93" s="5">
        <v>45540</v>
      </c>
      <c r="B93" s="9" t="s">
        <v>13</v>
      </c>
      <c r="C93" s="7">
        <f>C91*0.5%</f>
        <v>14000</v>
      </c>
      <c r="D93" s="7"/>
      <c r="E93" s="7">
        <f t="shared" si="1"/>
        <v>6367738.3000000007</v>
      </c>
    </row>
    <row r="94" spans="1:5" x14ac:dyDescent="0.3">
      <c r="A94" s="5">
        <v>45558</v>
      </c>
      <c r="B94" s="9" t="s">
        <v>8</v>
      </c>
      <c r="C94" s="7"/>
      <c r="D94" s="7">
        <v>150000</v>
      </c>
      <c r="E94" s="7">
        <f t="shared" si="1"/>
        <v>6517738.3000000007</v>
      </c>
    </row>
    <row r="95" spans="1:5" x14ac:dyDescent="0.3">
      <c r="A95" s="5">
        <v>45588</v>
      </c>
      <c r="B95" s="9" t="s">
        <v>8</v>
      </c>
      <c r="C95" s="7"/>
      <c r="D95" s="7">
        <v>150000</v>
      </c>
      <c r="E95" s="7">
        <f t="shared" si="1"/>
        <v>6667738.3000000007</v>
      </c>
    </row>
    <row r="96" spans="1:5" x14ac:dyDescent="0.3">
      <c r="A96" s="5">
        <v>45590</v>
      </c>
      <c r="B96" s="9" t="s">
        <v>16</v>
      </c>
      <c r="C96" s="7"/>
      <c r="D96" s="7">
        <v>2000000</v>
      </c>
      <c r="E96" s="7">
        <f t="shared" si="1"/>
        <v>8667738.3000000007</v>
      </c>
    </row>
    <row r="97" spans="1:5" x14ac:dyDescent="0.3">
      <c r="A97" s="5">
        <v>45590</v>
      </c>
      <c r="B97" s="9" t="s">
        <v>11</v>
      </c>
      <c r="C97" s="7">
        <v>2000000</v>
      </c>
      <c r="D97" s="7"/>
      <c r="E97" s="7">
        <f t="shared" si="1"/>
        <v>6667738.3000000007</v>
      </c>
    </row>
    <row r="98" spans="1:5" x14ac:dyDescent="0.3">
      <c r="A98" s="5">
        <v>45590</v>
      </c>
      <c r="B98" s="9" t="s">
        <v>12</v>
      </c>
      <c r="C98" s="7">
        <v>2000</v>
      </c>
      <c r="D98" s="7"/>
      <c r="E98" s="7">
        <f t="shared" si="1"/>
        <v>6665738.3000000007</v>
      </c>
    </row>
    <row r="99" spans="1:5" x14ac:dyDescent="0.3">
      <c r="A99" s="5">
        <v>45590</v>
      </c>
      <c r="B99" s="9" t="s">
        <v>13</v>
      </c>
      <c r="C99" s="7">
        <f>C97*0.5%</f>
        <v>10000</v>
      </c>
      <c r="D99" s="7"/>
      <c r="E99" s="7">
        <f t="shared" si="1"/>
        <v>6655738.3000000007</v>
      </c>
    </row>
    <row r="100" spans="1:5" x14ac:dyDescent="0.3">
      <c r="A100" s="5">
        <v>45608</v>
      </c>
      <c r="B100" s="9" t="s">
        <v>20</v>
      </c>
      <c r="C100" s="7"/>
      <c r="D100" s="7">
        <v>2030000</v>
      </c>
      <c r="E100" s="7">
        <f t="shared" si="1"/>
        <v>8685738.3000000007</v>
      </c>
    </row>
    <row r="101" spans="1:5" x14ac:dyDescent="0.3">
      <c r="A101" s="5">
        <v>45608</v>
      </c>
      <c r="B101" s="9" t="s">
        <v>11</v>
      </c>
      <c r="C101" s="7">
        <v>2030000</v>
      </c>
      <c r="D101" s="7"/>
      <c r="E101" s="7">
        <f t="shared" si="1"/>
        <v>6655738.3000000007</v>
      </c>
    </row>
    <row r="102" spans="1:5" x14ac:dyDescent="0.3">
      <c r="A102" s="5">
        <v>45608</v>
      </c>
      <c r="B102" s="9" t="s">
        <v>12</v>
      </c>
      <c r="C102" s="7">
        <v>2000</v>
      </c>
      <c r="D102" s="7"/>
      <c r="E102" s="7">
        <f t="shared" si="1"/>
        <v>6653738.3000000007</v>
      </c>
    </row>
    <row r="103" spans="1:5" x14ac:dyDescent="0.3">
      <c r="A103" s="5">
        <v>45608</v>
      </c>
      <c r="B103" s="9" t="s">
        <v>13</v>
      </c>
      <c r="C103" s="7">
        <f>C101*0.5%</f>
        <v>10150</v>
      </c>
      <c r="D103" s="7"/>
      <c r="E103" s="7">
        <f t="shared" si="1"/>
        <v>6643588.3000000007</v>
      </c>
    </row>
    <row r="104" spans="1:5" x14ac:dyDescent="0.3">
      <c r="A104" s="5">
        <v>45646</v>
      </c>
      <c r="B104" s="9" t="s">
        <v>8</v>
      </c>
      <c r="C104" s="7"/>
      <c r="D104" s="7">
        <v>150000</v>
      </c>
      <c r="E104" s="7">
        <f t="shared" si="1"/>
        <v>6793588.3000000007</v>
      </c>
    </row>
    <row r="105" spans="1:5" x14ac:dyDescent="0.3">
      <c r="A105" s="5">
        <v>45646</v>
      </c>
      <c r="B105" s="9" t="s">
        <v>16</v>
      </c>
      <c r="C105" s="7"/>
      <c r="D105" s="7">
        <v>2000000</v>
      </c>
      <c r="E105" s="7">
        <f t="shared" si="1"/>
        <v>8793588.3000000007</v>
      </c>
    </row>
    <row r="106" spans="1:5" x14ac:dyDescent="0.3">
      <c r="A106" s="5">
        <v>45646</v>
      </c>
      <c r="B106" s="9" t="s">
        <v>11</v>
      </c>
      <c r="C106" s="7">
        <v>2000000</v>
      </c>
      <c r="D106" s="7"/>
      <c r="E106" s="7">
        <f t="shared" si="1"/>
        <v>6793588.3000000007</v>
      </c>
    </row>
    <row r="107" spans="1:5" x14ac:dyDescent="0.3">
      <c r="A107" s="5">
        <v>45646</v>
      </c>
      <c r="B107" s="9" t="s">
        <v>12</v>
      </c>
      <c r="C107" s="7">
        <v>2000</v>
      </c>
      <c r="D107" s="7"/>
      <c r="E107" s="7">
        <f t="shared" si="1"/>
        <v>6791588.3000000007</v>
      </c>
    </row>
    <row r="108" spans="1:5" x14ac:dyDescent="0.3">
      <c r="A108" s="5">
        <v>45646</v>
      </c>
      <c r="B108" s="9" t="s">
        <v>13</v>
      </c>
      <c r="C108" s="7">
        <f>C106*0.5%</f>
        <v>10000</v>
      </c>
      <c r="D108" s="7"/>
      <c r="E108" s="7">
        <f t="shared" si="1"/>
        <v>6781588.3000000007</v>
      </c>
    </row>
    <row r="109" spans="1:5" x14ac:dyDescent="0.3">
      <c r="A109" s="5">
        <v>45680</v>
      </c>
      <c r="B109" s="9" t="s">
        <v>8</v>
      </c>
      <c r="C109" s="7"/>
      <c r="D109" s="7">
        <v>150000</v>
      </c>
      <c r="E109" s="7">
        <f t="shared" si="1"/>
        <v>6931588.3000000007</v>
      </c>
    </row>
    <row r="110" spans="1:5" x14ac:dyDescent="0.3">
      <c r="A110" s="5">
        <v>45684</v>
      </c>
      <c r="B110" s="9" t="s">
        <v>20</v>
      </c>
      <c r="C110" s="7"/>
      <c r="D110" s="7">
        <v>2080000</v>
      </c>
      <c r="E110" s="7">
        <f t="shared" si="1"/>
        <v>9011588.3000000007</v>
      </c>
    </row>
    <row r="111" spans="1:5" x14ac:dyDescent="0.3">
      <c r="A111" s="5">
        <v>45684</v>
      </c>
      <c r="B111" s="9" t="s">
        <v>11</v>
      </c>
      <c r="C111" s="7">
        <v>2080000</v>
      </c>
      <c r="D111" s="7"/>
      <c r="E111" s="7">
        <f t="shared" si="1"/>
        <v>6931588.3000000007</v>
      </c>
    </row>
    <row r="112" spans="1:5" x14ac:dyDescent="0.3">
      <c r="A112" s="5">
        <v>45684</v>
      </c>
      <c r="B112" s="9" t="s">
        <v>12</v>
      </c>
      <c r="C112" s="7">
        <v>2000</v>
      </c>
      <c r="D112" s="7"/>
      <c r="E112" s="7">
        <f t="shared" si="1"/>
        <v>6929588.3000000007</v>
      </c>
    </row>
    <row r="113" spans="1:5" x14ac:dyDescent="0.3">
      <c r="A113" s="5">
        <v>45684</v>
      </c>
      <c r="B113" s="9" t="s">
        <v>13</v>
      </c>
      <c r="C113" s="7">
        <f>C111*0.5%</f>
        <v>10400</v>
      </c>
      <c r="D113" s="7"/>
      <c r="E113" s="7">
        <f t="shared" si="1"/>
        <v>6919188.3000000007</v>
      </c>
    </row>
    <row r="114" spans="1:5" x14ac:dyDescent="0.3">
      <c r="A114" s="5">
        <v>45709</v>
      </c>
      <c r="B114" s="9" t="s">
        <v>8</v>
      </c>
      <c r="C114" s="7"/>
      <c r="D114" s="7">
        <v>150000</v>
      </c>
      <c r="E114" s="7">
        <f t="shared" si="1"/>
        <v>7069188.3000000007</v>
      </c>
    </row>
    <row r="115" spans="1:5" x14ac:dyDescent="0.3">
      <c r="A115" s="5">
        <v>45716</v>
      </c>
      <c r="B115" s="9" t="s">
        <v>16</v>
      </c>
      <c r="C115" s="7"/>
      <c r="D115" s="7">
        <v>2000000</v>
      </c>
      <c r="E115" s="7">
        <f t="shared" si="1"/>
        <v>9069188.3000000007</v>
      </c>
    </row>
    <row r="116" spans="1:5" x14ac:dyDescent="0.3">
      <c r="A116" s="5">
        <v>45716</v>
      </c>
      <c r="B116" s="9" t="s">
        <v>11</v>
      </c>
      <c r="C116" s="7">
        <v>2000000</v>
      </c>
      <c r="D116" s="7"/>
      <c r="E116" s="7">
        <f t="shared" si="1"/>
        <v>7069188.3000000007</v>
      </c>
    </row>
    <row r="117" spans="1:5" x14ac:dyDescent="0.3">
      <c r="A117" s="5">
        <v>45716</v>
      </c>
      <c r="B117" s="9" t="s">
        <v>12</v>
      </c>
      <c r="C117" s="7">
        <v>2000</v>
      </c>
      <c r="D117" s="7"/>
      <c r="E117" s="7">
        <f t="shared" si="1"/>
        <v>7067188.3000000007</v>
      </c>
    </row>
    <row r="118" spans="1:5" x14ac:dyDescent="0.3">
      <c r="A118" s="5">
        <v>45716</v>
      </c>
      <c r="B118" s="9" t="s">
        <v>13</v>
      </c>
      <c r="C118" s="7">
        <f>C116*0.5%</f>
        <v>10000</v>
      </c>
      <c r="D118" s="7"/>
      <c r="E118" s="7">
        <f t="shared" si="1"/>
        <v>7057188.3000000007</v>
      </c>
    </row>
    <row r="119" spans="1:5" x14ac:dyDescent="0.3">
      <c r="A119" s="5">
        <v>45737</v>
      </c>
      <c r="B119" s="9" t="s">
        <v>8</v>
      </c>
      <c r="C119" s="7"/>
      <c r="D119" s="7">
        <v>150000</v>
      </c>
      <c r="E119" s="7">
        <f t="shared" si="1"/>
        <v>7207188.3000000007</v>
      </c>
    </row>
    <row r="120" spans="1:5" x14ac:dyDescent="0.3">
      <c r="A120" s="10">
        <v>45770</v>
      </c>
      <c r="B120" s="9" t="s">
        <v>8</v>
      </c>
      <c r="C120" s="7"/>
      <c r="D120" s="7">
        <v>150000</v>
      </c>
      <c r="E120" s="7">
        <f t="shared" si="1"/>
        <v>7357188.3000000007</v>
      </c>
    </row>
    <row r="121" spans="1:5" x14ac:dyDescent="0.3">
      <c r="A121" s="10">
        <v>45784</v>
      </c>
      <c r="B121" s="9" t="s">
        <v>20</v>
      </c>
      <c r="C121" s="7"/>
      <c r="D121" s="7">
        <v>2000000</v>
      </c>
      <c r="E121" s="7">
        <f t="shared" si="1"/>
        <v>9357188.3000000007</v>
      </c>
    </row>
    <row r="122" spans="1:5" x14ac:dyDescent="0.3">
      <c r="A122" s="10">
        <v>45784</v>
      </c>
      <c r="B122" s="9" t="s">
        <v>11</v>
      </c>
      <c r="C122" s="7">
        <v>2000000</v>
      </c>
      <c r="D122" s="7"/>
      <c r="E122" s="7">
        <f t="shared" si="1"/>
        <v>7357188.3000000007</v>
      </c>
    </row>
    <row r="123" spans="1:5" x14ac:dyDescent="0.3">
      <c r="A123" s="10">
        <v>45784</v>
      </c>
      <c r="B123" s="9" t="s">
        <v>12</v>
      </c>
      <c r="C123" s="7">
        <v>2000</v>
      </c>
      <c r="D123" s="7"/>
      <c r="E123" s="7">
        <f t="shared" si="1"/>
        <v>7355188.3000000007</v>
      </c>
    </row>
    <row r="124" spans="1:5" x14ac:dyDescent="0.3">
      <c r="A124" s="10">
        <v>45784</v>
      </c>
      <c r="B124" s="9" t="s">
        <v>13</v>
      </c>
      <c r="C124" s="7">
        <f>C122*0.5%</f>
        <v>10000</v>
      </c>
      <c r="D124" s="7"/>
      <c r="E124" s="7">
        <f t="shared" si="1"/>
        <v>7345188.3000000007</v>
      </c>
    </row>
    <row r="125" spans="1:5" x14ac:dyDescent="0.3">
      <c r="A125" s="10">
        <v>45800</v>
      </c>
      <c r="B125" s="9" t="s">
        <v>8</v>
      </c>
      <c r="C125" s="7"/>
      <c r="D125" s="7">
        <v>150000</v>
      </c>
      <c r="E125" s="7">
        <f t="shared" si="1"/>
        <v>7495188.3000000007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Leku</dc:creator>
  <cp:lastModifiedBy>Dennis Leku</cp:lastModifiedBy>
  <dcterms:created xsi:type="dcterms:W3CDTF">2025-07-20T16:19:48Z</dcterms:created>
  <dcterms:modified xsi:type="dcterms:W3CDTF">2025-07-20T16:36:43Z</dcterms:modified>
</cp:coreProperties>
</file>