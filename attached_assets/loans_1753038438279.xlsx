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ga31865\Downloads\"/>
    </mc:Choice>
  </mc:AlternateContent>
  <xr:revisionPtr revIDLastSave="0" documentId="13_ncr:1_{FB2175E5-DCB3-44DB-8740-28E9C42797B3}" xr6:coauthVersionLast="47" xr6:coauthVersionMax="47" xr10:uidLastSave="{00000000-0000-0000-0000-000000000000}"/>
  <bookViews>
    <workbookView xWindow="-108" yWindow="-108" windowWidth="23256" windowHeight="12456" xr2:uid="{8D093284-6FDC-4088-94B6-B79999F4EA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1" i="1" l="1"/>
  <c r="F32" i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C58" i="1"/>
  <c r="C57" i="1"/>
  <c r="C55" i="1"/>
  <c r="C54" i="1"/>
  <c r="C53" i="1"/>
  <c r="C51" i="1"/>
  <c r="C50" i="1"/>
  <c r="C49" i="1"/>
  <c r="C47" i="1"/>
  <c r="C46" i="1"/>
  <c r="C45" i="1"/>
  <c r="C43" i="1"/>
  <c r="C42" i="1"/>
  <c r="C41" i="1"/>
  <c r="C40" i="1"/>
  <c r="C38" i="1"/>
  <c r="C37" i="1"/>
  <c r="C36" i="1"/>
  <c r="C34" i="1"/>
  <c r="C33" i="1"/>
  <c r="C31" i="1"/>
  <c r="C30" i="1"/>
  <c r="C29" i="1"/>
  <c r="C27" i="1"/>
  <c r="C26" i="1"/>
  <c r="C25" i="1"/>
  <c r="C23" i="1"/>
  <c r="C22" i="1"/>
  <c r="C21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F6" i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C6" i="1"/>
  <c r="E2" i="1"/>
  <c r="E1" i="1"/>
</calcChain>
</file>

<file path=xl/sharedStrings.xml><?xml version="1.0" encoding="utf-8"?>
<sst xmlns="http://schemas.openxmlformats.org/spreadsheetml/2006/main" count="66" uniqueCount="29">
  <si>
    <t xml:space="preserve">ACCOUNT NAME: </t>
  </si>
  <si>
    <t>LEKU DENNIS</t>
  </si>
  <si>
    <t>CLOSING BALANCE</t>
  </si>
  <si>
    <t>ACCOUNT NUMBER:</t>
  </si>
  <si>
    <t>INTEREST EARNED</t>
  </si>
  <si>
    <t>TENURE</t>
  </si>
  <si>
    <t>POSTING DATE</t>
  </si>
  <si>
    <t>DETAILS</t>
  </si>
  <si>
    <t>AMT DEBITED</t>
  </si>
  <si>
    <t>PRINCIPLE REPYT</t>
  </si>
  <si>
    <t>INTEREST</t>
  </si>
  <si>
    <t>BALANCE</t>
  </si>
  <si>
    <t>LOAN AMOUNT DISBURSED</t>
  </si>
  <si>
    <t>April installment</t>
  </si>
  <si>
    <t>May installment</t>
  </si>
  <si>
    <t>June installament</t>
  </si>
  <si>
    <t>July Installement</t>
  </si>
  <si>
    <t>August Installement</t>
  </si>
  <si>
    <t>Loan top up</t>
  </si>
  <si>
    <t>September installement</t>
  </si>
  <si>
    <t>October installment</t>
  </si>
  <si>
    <t>November installment</t>
  </si>
  <si>
    <t>December installment</t>
  </si>
  <si>
    <t>January installment</t>
  </si>
  <si>
    <t>Feb installment</t>
  </si>
  <si>
    <t>March installment</t>
  </si>
  <si>
    <t>Loan topup</t>
  </si>
  <si>
    <t>LOAN TOPUP</t>
  </si>
  <si>
    <t>Loan installment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</si>
</sst>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99"/>
        <bgColor theme="6" tint="-0.249977111117893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1" applyNumberFormat="1" applyFont="1" applyFill="1" applyBorder="1"/>
    <xf numFmtId="43" fontId="2" fillId="2" borderId="3" xfId="1" applyFont="1" applyFill="1" applyBorder="1"/>
    <xf numFmtId="43" fontId="2" fillId="2" borderId="4" xfId="1" applyFont="1" applyFill="1" applyBorder="1"/>
    <xf numFmtId="1" fontId="3" fillId="3" borderId="2" xfId="0" applyNumberFormat="1" applyFont="1" applyFill="1" applyBorder="1"/>
    <xf numFmtId="43" fontId="0" fillId="2" borderId="2" xfId="1" applyFont="1" applyFill="1" applyBorder="1"/>
    <xf numFmtId="0" fontId="4" fillId="2" borderId="2" xfId="0" applyFont="1" applyFill="1" applyBorder="1" applyAlignment="1">
      <alignment horizontal="right"/>
    </xf>
    <xf numFmtId="43" fontId="0" fillId="2" borderId="3" xfId="1" applyFont="1" applyFill="1" applyBorder="1"/>
    <xf numFmtId="43" fontId="0" fillId="2" borderId="4" xfId="1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43" fontId="2" fillId="2" borderId="7" xfId="1" applyFont="1" applyFill="1" applyBorder="1"/>
    <xf numFmtId="43" fontId="2" fillId="2" borderId="8" xfId="1" applyFont="1" applyFill="1" applyBorder="1"/>
    <xf numFmtId="15" fontId="0" fillId="0" borderId="2" xfId="0" applyNumberFormat="1" applyBorder="1"/>
    <xf numFmtId="0" fontId="5" fillId="4" borderId="6" xfId="0" applyFont="1" applyFill="1" applyBorder="1" applyAlignment="1">
      <alignment horizontal="left" indent="1"/>
    </xf>
    <xf numFmtId="43" fontId="1" fillId="0" borderId="6" xfId="1" applyFont="1" applyBorder="1"/>
    <xf numFmtId="43" fontId="1" fillId="0" borderId="9" xfId="1" applyFont="1" applyFill="1" applyBorder="1" applyAlignment="1">
      <alignment horizontal="center"/>
    </xf>
    <xf numFmtId="43" fontId="1" fillId="0" borderId="10" xfId="1" applyFont="1" applyFill="1" applyBorder="1" applyAlignment="1">
      <alignment horizontal="center"/>
    </xf>
    <xf numFmtId="164" fontId="1" fillId="0" borderId="0" xfId="2" applyFont="1" applyFill="1" applyBorder="1"/>
    <xf numFmtId="0" fontId="0" fillId="0" borderId="2" xfId="0" applyBorder="1"/>
    <xf numFmtId="43" fontId="0" fillId="0" borderId="2" xfId="1" applyFont="1" applyBorder="1"/>
    <xf numFmtId="164" fontId="0" fillId="0" borderId="2" xfId="0" applyNumberFormat="1" applyBorder="1"/>
    <xf numFmtId="43" fontId="0" fillId="0" borderId="2" xfId="1" applyFont="1" applyFill="1" applyBorder="1"/>
    <xf numFmtId="43" fontId="0" fillId="0" borderId="0" xfId="1" applyFont="1"/>
  </cellXfs>
  <cellStyles count="3">
    <cellStyle name="Comma" xfId="1" builtinId="3"/>
    <cellStyle name="Comma 2" xfId="2" xr:uid="{1DD8180C-C24C-461E-B55E-041A88C79FE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69798-9F0F-4227-A518-908BC1AE3FC5}">
  <dimension ref="A1:F58"/>
  <sheetViews>
    <sheetView tabSelected="1" workbookViewId="0">
      <selection activeCell="B11" sqref="B11"/>
    </sheetView>
  </sheetViews>
  <sheetFormatPr defaultRowHeight="14.4" x14ac:dyDescent="0.3"/>
  <cols>
    <col min="1" max="1" width="17.6640625" bestFit="1" customWidth="1"/>
    <col min="2" max="2" width="28.21875" bestFit="1" customWidth="1"/>
    <col min="3" max="3" width="13.109375" bestFit="1" customWidth="1"/>
    <col min="4" max="4" width="18.44140625" bestFit="1" customWidth="1"/>
    <col min="5" max="5" width="14.109375" bestFit="1" customWidth="1"/>
    <col min="6" max="6" width="13.88671875" bestFit="1" customWidth="1"/>
  </cols>
  <sheetData>
    <row r="1" spans="1:6" x14ac:dyDescent="0.3">
      <c r="A1" s="1" t="s">
        <v>0</v>
      </c>
      <c r="B1" s="2" t="s">
        <v>1</v>
      </c>
      <c r="C1" s="3"/>
      <c r="D1" s="4" t="s">
        <v>2</v>
      </c>
      <c r="E1" s="5">
        <f>F5-(SUM(D5:D161))</f>
        <v>14659297.444444437</v>
      </c>
    </row>
    <row r="2" spans="1:6" x14ac:dyDescent="0.3">
      <c r="A2" s="1" t="s">
        <v>3</v>
      </c>
      <c r="B2" s="6">
        <v>2293720357</v>
      </c>
      <c r="C2" s="7"/>
      <c r="D2" s="4" t="s">
        <v>4</v>
      </c>
      <c r="E2" s="5">
        <f>SUM(E6:E156)</f>
        <v>2956020.8288888889</v>
      </c>
    </row>
    <row r="3" spans="1:6" x14ac:dyDescent="0.3">
      <c r="A3" s="1" t="s">
        <v>5</v>
      </c>
      <c r="B3" s="8">
        <v>6</v>
      </c>
      <c r="C3" s="7"/>
      <c r="D3" s="9"/>
      <c r="E3" s="10"/>
    </row>
    <row r="4" spans="1:6" x14ac:dyDescent="0.3">
      <c r="A4" s="11" t="s">
        <v>6</v>
      </c>
      <c r="B4" s="12" t="s">
        <v>7</v>
      </c>
      <c r="C4" s="12" t="s">
        <v>8</v>
      </c>
      <c r="D4" s="13" t="s">
        <v>9</v>
      </c>
      <c r="E4" s="14" t="s">
        <v>10</v>
      </c>
      <c r="F4" s="5" t="s">
        <v>11</v>
      </c>
    </row>
    <row r="5" spans="1:6" x14ac:dyDescent="0.3">
      <c r="A5" s="15">
        <v>44656</v>
      </c>
      <c r="B5" s="16" t="s">
        <v>12</v>
      </c>
      <c r="C5" s="17">
        <v>1500000</v>
      </c>
      <c r="D5" s="18"/>
      <c r="E5" s="19"/>
      <c r="F5" s="20">
        <v>1500000</v>
      </c>
    </row>
    <row r="6" spans="1:6" x14ac:dyDescent="0.3">
      <c r="A6" s="15">
        <v>44680</v>
      </c>
      <c r="B6" s="21" t="s">
        <v>13</v>
      </c>
      <c r="C6" s="22">
        <f t="shared" ref="C6:C19" si="0">D6+E6</f>
        <v>260000</v>
      </c>
      <c r="D6" s="22">
        <v>250000</v>
      </c>
      <c r="E6" s="22">
        <v>10000</v>
      </c>
      <c r="F6" s="23">
        <f>F5-D6</f>
        <v>1250000</v>
      </c>
    </row>
    <row r="7" spans="1:6" x14ac:dyDescent="0.3">
      <c r="A7" s="15">
        <v>44704</v>
      </c>
      <c r="B7" s="21" t="s">
        <v>14</v>
      </c>
      <c r="C7" s="22">
        <f t="shared" si="0"/>
        <v>260000</v>
      </c>
      <c r="D7" s="22">
        <v>250000</v>
      </c>
      <c r="E7" s="22">
        <v>10000</v>
      </c>
      <c r="F7" s="23">
        <f>F6-D7</f>
        <v>1000000</v>
      </c>
    </row>
    <row r="8" spans="1:6" x14ac:dyDescent="0.3">
      <c r="A8" s="15">
        <v>44737</v>
      </c>
      <c r="B8" s="21" t="s">
        <v>15</v>
      </c>
      <c r="C8" s="22">
        <f t="shared" si="0"/>
        <v>260000</v>
      </c>
      <c r="D8" s="22">
        <v>250000</v>
      </c>
      <c r="E8" s="22">
        <v>10000</v>
      </c>
      <c r="F8" s="23">
        <f>F7-D8</f>
        <v>750000</v>
      </c>
    </row>
    <row r="9" spans="1:6" x14ac:dyDescent="0.3">
      <c r="A9" s="15">
        <v>44740</v>
      </c>
      <c r="B9" s="21" t="s">
        <v>18</v>
      </c>
      <c r="C9" s="22">
        <f t="shared" si="0"/>
        <v>-1820000</v>
      </c>
      <c r="D9" s="22">
        <v>-1820000</v>
      </c>
      <c r="E9" s="22"/>
      <c r="F9" s="23">
        <f>F8-D9</f>
        <v>2570000</v>
      </c>
    </row>
    <row r="10" spans="1:6" x14ac:dyDescent="0.3">
      <c r="A10" s="15">
        <v>44764</v>
      </c>
      <c r="B10" s="21" t="s">
        <v>16</v>
      </c>
      <c r="C10" s="22">
        <f t="shared" si="0"/>
        <v>260000</v>
      </c>
      <c r="D10" s="22">
        <v>250000</v>
      </c>
      <c r="E10" s="22">
        <v>10000</v>
      </c>
      <c r="F10" s="23">
        <f>F9-D10</f>
        <v>2320000</v>
      </c>
    </row>
    <row r="11" spans="1:6" x14ac:dyDescent="0.3">
      <c r="A11" s="15">
        <v>44795</v>
      </c>
      <c r="B11" s="21" t="s">
        <v>17</v>
      </c>
      <c r="C11" s="22">
        <f t="shared" si="0"/>
        <v>402133.33333333337</v>
      </c>
      <c r="D11" s="22">
        <v>386666.66666666669</v>
      </c>
      <c r="E11" s="22">
        <v>15466.666666666666</v>
      </c>
      <c r="F11" s="23">
        <f t="shared" ref="F11:F58" si="1">F10-D11</f>
        <v>1933333.3333333333</v>
      </c>
    </row>
    <row r="12" spans="1:6" x14ac:dyDescent="0.3">
      <c r="A12" s="15">
        <v>44820</v>
      </c>
      <c r="B12" s="21" t="s">
        <v>18</v>
      </c>
      <c r="C12" s="22">
        <f t="shared" si="0"/>
        <v>-3900000</v>
      </c>
      <c r="D12" s="22">
        <v>-3900000</v>
      </c>
      <c r="E12" s="21"/>
      <c r="F12" s="23">
        <f t="shared" si="1"/>
        <v>5833333.333333333</v>
      </c>
    </row>
    <row r="13" spans="1:6" x14ac:dyDescent="0.3">
      <c r="A13" s="15">
        <v>44827</v>
      </c>
      <c r="B13" s="21" t="s">
        <v>19</v>
      </c>
      <c r="C13" s="22">
        <f t="shared" si="0"/>
        <v>281944.44444444444</v>
      </c>
      <c r="D13" s="22">
        <v>243055.55555555553</v>
      </c>
      <c r="E13" s="22">
        <v>38888.888888888883</v>
      </c>
      <c r="F13" s="23">
        <f t="shared" si="1"/>
        <v>5590277.7777777771</v>
      </c>
    </row>
    <row r="14" spans="1:6" x14ac:dyDescent="0.3">
      <c r="A14" s="15">
        <v>44855</v>
      </c>
      <c r="B14" s="21" t="s">
        <v>20</v>
      </c>
      <c r="C14" s="22">
        <f t="shared" si="0"/>
        <v>281944.44444444444</v>
      </c>
      <c r="D14" s="22">
        <v>243055.55555555553</v>
      </c>
      <c r="E14" s="22">
        <v>38888.888888888883</v>
      </c>
      <c r="F14" s="23">
        <f t="shared" si="1"/>
        <v>5347222.2222222211</v>
      </c>
    </row>
    <row r="15" spans="1:6" x14ac:dyDescent="0.3">
      <c r="A15" s="15">
        <v>44888</v>
      </c>
      <c r="B15" s="21" t="s">
        <v>21</v>
      </c>
      <c r="C15" s="22">
        <f t="shared" si="0"/>
        <v>281944.4444444449</v>
      </c>
      <c r="D15" s="22">
        <v>243055.555555556</v>
      </c>
      <c r="E15" s="22">
        <v>38888.888888888898</v>
      </c>
      <c r="F15" s="23">
        <f t="shared" si="1"/>
        <v>5104166.6666666651</v>
      </c>
    </row>
    <row r="16" spans="1:6" x14ac:dyDescent="0.3">
      <c r="A16" s="15">
        <v>44915</v>
      </c>
      <c r="B16" s="21" t="s">
        <v>22</v>
      </c>
      <c r="C16" s="22">
        <f t="shared" si="0"/>
        <v>281944.4444444449</v>
      </c>
      <c r="D16" s="22">
        <v>243055.555555556</v>
      </c>
      <c r="E16" s="22">
        <v>38888.888888888898</v>
      </c>
      <c r="F16" s="23">
        <f t="shared" si="1"/>
        <v>4861111.1111111091</v>
      </c>
    </row>
    <row r="17" spans="1:6" x14ac:dyDescent="0.3">
      <c r="A17" s="15">
        <v>44949</v>
      </c>
      <c r="B17" s="21" t="s">
        <v>23</v>
      </c>
      <c r="C17" s="22">
        <f t="shared" si="0"/>
        <v>281944.4444444449</v>
      </c>
      <c r="D17" s="22">
        <v>243055.555555556</v>
      </c>
      <c r="E17" s="22">
        <v>38888.888888888898</v>
      </c>
      <c r="F17" s="23">
        <f t="shared" si="1"/>
        <v>4618055.5555555532</v>
      </c>
    </row>
    <row r="18" spans="1:6" x14ac:dyDescent="0.3">
      <c r="A18" s="15">
        <v>44980</v>
      </c>
      <c r="B18" s="21" t="s">
        <v>24</v>
      </c>
      <c r="C18" s="22">
        <f t="shared" si="0"/>
        <v>281944.4444444449</v>
      </c>
      <c r="D18" s="22">
        <v>243055.555555556</v>
      </c>
      <c r="E18" s="22">
        <v>38888.888888888898</v>
      </c>
      <c r="F18" s="23">
        <f t="shared" si="1"/>
        <v>4374999.9999999972</v>
      </c>
    </row>
    <row r="19" spans="1:6" x14ac:dyDescent="0.3">
      <c r="A19" s="15">
        <v>45008</v>
      </c>
      <c r="B19" s="21" t="s">
        <v>25</v>
      </c>
      <c r="C19" s="22">
        <f t="shared" si="0"/>
        <v>281944.4444444449</v>
      </c>
      <c r="D19" s="22">
        <v>243055.555555556</v>
      </c>
      <c r="E19" s="22">
        <v>38888.888888888898</v>
      </c>
      <c r="F19" s="23">
        <f t="shared" si="1"/>
        <v>4131944.4444444412</v>
      </c>
    </row>
    <row r="20" spans="1:6" x14ac:dyDescent="0.3">
      <c r="A20" s="15">
        <v>45034</v>
      </c>
      <c r="B20" s="21" t="s">
        <v>18</v>
      </c>
      <c r="C20" s="21"/>
      <c r="D20" s="22">
        <v>-4000000</v>
      </c>
      <c r="E20" s="21"/>
      <c r="F20" s="23">
        <f t="shared" si="1"/>
        <v>8131944.4444444412</v>
      </c>
    </row>
    <row r="21" spans="1:6" x14ac:dyDescent="0.3">
      <c r="A21" s="15">
        <v>45036</v>
      </c>
      <c r="B21" s="21" t="s">
        <v>13</v>
      </c>
      <c r="C21" s="22">
        <f>D21+E21</f>
        <v>867407.39999999991</v>
      </c>
      <c r="D21" s="22">
        <v>813194.44</v>
      </c>
      <c r="E21" s="22">
        <v>54212.959999999999</v>
      </c>
      <c r="F21" s="23">
        <f t="shared" si="1"/>
        <v>7318750.0044444408</v>
      </c>
    </row>
    <row r="22" spans="1:6" x14ac:dyDescent="0.3">
      <c r="A22" s="15">
        <v>45069</v>
      </c>
      <c r="B22" s="21" t="s">
        <v>14</v>
      </c>
      <c r="C22" s="23">
        <f>D22+E22</f>
        <v>813194</v>
      </c>
      <c r="D22" s="22">
        <v>813194</v>
      </c>
      <c r="E22" s="21"/>
      <c r="F22" s="23">
        <f t="shared" si="1"/>
        <v>6505556.0044444408</v>
      </c>
    </row>
    <row r="23" spans="1:6" x14ac:dyDescent="0.3">
      <c r="A23" s="15">
        <v>45100</v>
      </c>
      <c r="B23" s="21" t="s">
        <v>15</v>
      </c>
      <c r="C23" s="22">
        <f>D23+E23</f>
        <v>867407.39999999991</v>
      </c>
      <c r="D23" s="22">
        <v>813194.44</v>
      </c>
      <c r="E23" s="22">
        <v>54212.959999999999</v>
      </c>
      <c r="F23" s="23">
        <f t="shared" si="1"/>
        <v>5692361.5644444413</v>
      </c>
    </row>
    <row r="24" spans="1:6" x14ac:dyDescent="0.3">
      <c r="A24" s="15">
        <v>45107</v>
      </c>
      <c r="B24" s="21" t="s">
        <v>18</v>
      </c>
      <c r="C24" s="21"/>
      <c r="D24" s="22">
        <v>-4000000</v>
      </c>
      <c r="E24" s="21"/>
      <c r="F24" s="23">
        <f t="shared" si="1"/>
        <v>9692361.5644444413</v>
      </c>
    </row>
    <row r="25" spans="1:6" x14ac:dyDescent="0.3">
      <c r="A25" s="15">
        <v>45128</v>
      </c>
      <c r="B25" s="21" t="s">
        <v>16</v>
      </c>
      <c r="C25" s="22">
        <f>D25+E25</f>
        <v>1033851.9</v>
      </c>
      <c r="D25" s="22">
        <v>969236.16</v>
      </c>
      <c r="E25" s="22">
        <v>64615.74</v>
      </c>
      <c r="F25" s="23">
        <f t="shared" si="1"/>
        <v>8723125.4044444412</v>
      </c>
    </row>
    <row r="26" spans="1:6" x14ac:dyDescent="0.3">
      <c r="A26" s="15">
        <v>45161</v>
      </c>
      <c r="B26" s="21" t="s">
        <v>17</v>
      </c>
      <c r="C26" s="22">
        <f>D26+E26</f>
        <v>1033851.9</v>
      </c>
      <c r="D26" s="22">
        <v>969236.16</v>
      </c>
      <c r="E26" s="22">
        <v>64615.74</v>
      </c>
      <c r="F26" s="23">
        <f t="shared" si="1"/>
        <v>7753889.2444444411</v>
      </c>
    </row>
    <row r="27" spans="1:6" x14ac:dyDescent="0.3">
      <c r="A27" s="15">
        <v>45191</v>
      </c>
      <c r="B27" s="21" t="s">
        <v>19</v>
      </c>
      <c r="C27" s="22">
        <f>D27+E27</f>
        <v>1033851.9</v>
      </c>
      <c r="D27" s="22">
        <v>969236.16</v>
      </c>
      <c r="E27" s="22">
        <v>64615.74</v>
      </c>
      <c r="F27" s="23">
        <f t="shared" si="1"/>
        <v>6784653.0844444409</v>
      </c>
    </row>
    <row r="28" spans="1:6" x14ac:dyDescent="0.3">
      <c r="A28" s="15">
        <v>45202</v>
      </c>
      <c r="B28" s="21" t="s">
        <v>26</v>
      </c>
      <c r="C28" s="21"/>
      <c r="D28" s="22">
        <v>-4500000</v>
      </c>
      <c r="E28" s="21"/>
      <c r="F28" s="23">
        <f t="shared" si="1"/>
        <v>11284653.084444441</v>
      </c>
    </row>
    <row r="29" spans="1:6" x14ac:dyDescent="0.3">
      <c r="A29" s="15">
        <v>45222</v>
      </c>
      <c r="B29" s="21" t="s">
        <v>20</v>
      </c>
      <c r="C29" s="23">
        <f>D29+E29</f>
        <v>1015618.78</v>
      </c>
      <c r="D29" s="22">
        <v>940387.76</v>
      </c>
      <c r="E29" s="22">
        <v>75231.02</v>
      </c>
      <c r="F29" s="23">
        <f t="shared" si="1"/>
        <v>10344265.324444441</v>
      </c>
    </row>
    <row r="30" spans="1:6" x14ac:dyDescent="0.3">
      <c r="A30" s="15">
        <v>45253</v>
      </c>
      <c r="B30" s="21" t="s">
        <v>21</v>
      </c>
      <c r="C30" s="23">
        <f>D30+E30</f>
        <v>1015618.78</v>
      </c>
      <c r="D30" s="22">
        <v>940387.76</v>
      </c>
      <c r="E30" s="22">
        <v>75231.02</v>
      </c>
      <c r="F30" s="23">
        <f t="shared" si="1"/>
        <v>9403877.5644444413</v>
      </c>
    </row>
    <row r="31" spans="1:6" x14ac:dyDescent="0.3">
      <c r="A31" s="15">
        <v>45280</v>
      </c>
      <c r="B31" s="21" t="s">
        <v>22</v>
      </c>
      <c r="C31" s="23">
        <f>D31+E31</f>
        <v>1015618.78</v>
      </c>
      <c r="D31" s="22">
        <v>940387.76</v>
      </c>
      <c r="E31" s="22">
        <v>75231.02</v>
      </c>
      <c r="F31" s="23">
        <f t="shared" si="1"/>
        <v>8463489.8044444416</v>
      </c>
    </row>
    <row r="32" spans="1:6" x14ac:dyDescent="0.3">
      <c r="A32" s="15">
        <v>45281</v>
      </c>
      <c r="B32" s="21" t="s">
        <v>27</v>
      </c>
      <c r="C32" s="22">
        <v>-6000000</v>
      </c>
      <c r="D32" s="22">
        <v>-6000000</v>
      </c>
      <c r="E32" s="21"/>
      <c r="F32" s="23">
        <f t="shared" si="1"/>
        <v>14463489.804444442</v>
      </c>
    </row>
    <row r="33" spans="1:6" x14ac:dyDescent="0.3">
      <c r="A33" s="15">
        <v>45314</v>
      </c>
      <c r="B33" s="21" t="s">
        <v>23</v>
      </c>
      <c r="C33" s="22">
        <f>D33+E33</f>
        <v>1301714.0900000001</v>
      </c>
      <c r="D33" s="22">
        <v>1205290.82</v>
      </c>
      <c r="E33" s="22">
        <v>96423.27</v>
      </c>
      <c r="F33" s="23">
        <f t="shared" si="1"/>
        <v>13258198.984444441</v>
      </c>
    </row>
    <row r="34" spans="1:6" x14ac:dyDescent="0.3">
      <c r="A34" s="15">
        <v>45345</v>
      </c>
      <c r="B34" s="21" t="s">
        <v>24</v>
      </c>
      <c r="C34" s="22">
        <f>D34+E34</f>
        <v>1301714.0900000001</v>
      </c>
      <c r="D34" s="22">
        <v>1205290.82</v>
      </c>
      <c r="E34" s="22">
        <v>96423.27</v>
      </c>
      <c r="F34" s="23">
        <f t="shared" si="1"/>
        <v>12052908.164444441</v>
      </c>
    </row>
    <row r="35" spans="1:6" x14ac:dyDescent="0.3">
      <c r="A35" s="15">
        <v>45357</v>
      </c>
      <c r="B35" s="21" t="s">
        <v>26</v>
      </c>
      <c r="C35" s="21"/>
      <c r="D35" s="22">
        <v>-3000000</v>
      </c>
      <c r="E35" s="21"/>
      <c r="F35" s="23">
        <f t="shared" si="1"/>
        <v>15052908.164444441</v>
      </c>
    </row>
    <row r="36" spans="1:6" x14ac:dyDescent="0.3">
      <c r="A36" s="15">
        <v>45373</v>
      </c>
      <c r="B36" s="21" t="s">
        <v>25</v>
      </c>
      <c r="C36" s="22">
        <f>D36+E36</f>
        <v>1354761.73</v>
      </c>
      <c r="D36" s="22">
        <v>1254409.01</v>
      </c>
      <c r="E36" s="22">
        <v>100352.72</v>
      </c>
      <c r="F36" s="23">
        <f t="shared" si="1"/>
        <v>13798499.154444441</v>
      </c>
    </row>
    <row r="37" spans="1:6" x14ac:dyDescent="0.3">
      <c r="A37" s="15">
        <v>45405</v>
      </c>
      <c r="B37" s="21" t="s">
        <v>13</v>
      </c>
      <c r="C37" s="22">
        <f>D37+E37</f>
        <v>1354761.73</v>
      </c>
      <c r="D37" s="22">
        <v>1254409.01</v>
      </c>
      <c r="E37" s="22">
        <v>100352.72</v>
      </c>
      <c r="F37" s="23">
        <f t="shared" si="1"/>
        <v>12544090.144444441</v>
      </c>
    </row>
    <row r="38" spans="1:6" x14ac:dyDescent="0.3">
      <c r="A38" s="15">
        <v>45415</v>
      </c>
      <c r="B38" s="21" t="s">
        <v>28</v>
      </c>
      <c r="C38" s="22">
        <f>D38+E38</f>
        <v>1354761.73</v>
      </c>
      <c r="D38" s="22">
        <v>1254409.01</v>
      </c>
      <c r="E38" s="22">
        <v>100352.72</v>
      </c>
      <c r="F38" s="23">
        <f t="shared" si="1"/>
        <v>11289681.134444442</v>
      </c>
    </row>
    <row r="39" spans="1:6" x14ac:dyDescent="0.3">
      <c r="A39" s="15">
        <v>45418</v>
      </c>
      <c r="B39" s="21" t="s">
        <v>26</v>
      </c>
      <c r="C39" s="21"/>
      <c r="D39" s="22">
        <v>-4500000</v>
      </c>
      <c r="E39" s="21"/>
      <c r="F39" s="23">
        <f t="shared" si="1"/>
        <v>15789681.134444442</v>
      </c>
    </row>
    <row r="40" spans="1:6" x14ac:dyDescent="0.3">
      <c r="A40" s="15">
        <v>45435</v>
      </c>
      <c r="B40" s="21" t="s">
        <v>14</v>
      </c>
      <c r="C40" s="22">
        <f>D40+E40</f>
        <v>763167.92</v>
      </c>
      <c r="D40" s="22">
        <v>657903.38</v>
      </c>
      <c r="E40" s="22">
        <v>105264.54</v>
      </c>
      <c r="F40" s="23">
        <f t="shared" si="1"/>
        <v>15131777.754444441</v>
      </c>
    </row>
    <row r="41" spans="1:6" x14ac:dyDescent="0.3">
      <c r="A41" s="15">
        <v>45464</v>
      </c>
      <c r="B41" s="22" t="s">
        <v>15</v>
      </c>
      <c r="C41" s="22">
        <f>D41+E41</f>
        <v>763167.92</v>
      </c>
      <c r="D41" s="22">
        <v>657903.38</v>
      </c>
      <c r="E41" s="22">
        <v>105264.54</v>
      </c>
      <c r="F41" s="23">
        <f t="shared" si="1"/>
        <v>14473874.37444444</v>
      </c>
    </row>
    <row r="42" spans="1:6" x14ac:dyDescent="0.3">
      <c r="A42" s="15">
        <v>45496</v>
      </c>
      <c r="B42" s="21" t="s">
        <v>16</v>
      </c>
      <c r="C42" s="22">
        <f>D42+E42</f>
        <v>763167.92</v>
      </c>
      <c r="D42" s="22">
        <v>657903.38</v>
      </c>
      <c r="E42" s="22">
        <v>105264.54</v>
      </c>
      <c r="F42" s="23">
        <f t="shared" si="1"/>
        <v>13815970.994444439</v>
      </c>
    </row>
    <row r="43" spans="1:6" x14ac:dyDescent="0.3">
      <c r="A43" s="15">
        <v>45527</v>
      </c>
      <c r="B43" s="21" t="s">
        <v>17</v>
      </c>
      <c r="C43" s="22">
        <f>D43+E43</f>
        <v>763167.92</v>
      </c>
      <c r="D43" s="22">
        <v>657903.38</v>
      </c>
      <c r="E43" s="22">
        <v>105264.54</v>
      </c>
      <c r="F43" s="23">
        <f t="shared" si="1"/>
        <v>13158067.614444438</v>
      </c>
    </row>
    <row r="44" spans="1:6" x14ac:dyDescent="0.3">
      <c r="A44" s="15">
        <v>45540</v>
      </c>
      <c r="B44" s="21" t="s">
        <v>26</v>
      </c>
      <c r="C44" s="21"/>
      <c r="D44" s="22">
        <v>-2800000</v>
      </c>
      <c r="E44" s="21"/>
      <c r="F44" s="23">
        <f t="shared" si="1"/>
        <v>15958067.614444438</v>
      </c>
    </row>
    <row r="45" spans="1:6" x14ac:dyDescent="0.3">
      <c r="A45" s="15">
        <v>45558</v>
      </c>
      <c r="B45" s="21" t="s">
        <v>19</v>
      </c>
      <c r="C45" s="22">
        <f>D45+E45</f>
        <v>771306.6</v>
      </c>
      <c r="D45" s="22">
        <v>664919.48</v>
      </c>
      <c r="E45" s="22">
        <v>106387.12</v>
      </c>
      <c r="F45" s="23">
        <f t="shared" si="1"/>
        <v>15293148.134444438</v>
      </c>
    </row>
    <row r="46" spans="1:6" x14ac:dyDescent="0.3">
      <c r="A46" s="15">
        <v>45588</v>
      </c>
      <c r="B46" s="21" t="s">
        <v>20</v>
      </c>
      <c r="C46" s="22">
        <f>D46+E46</f>
        <v>771306.6</v>
      </c>
      <c r="D46" s="22">
        <v>664919.48</v>
      </c>
      <c r="E46" s="22">
        <v>106387.12</v>
      </c>
      <c r="F46" s="23">
        <f t="shared" si="1"/>
        <v>14628228.654444437</v>
      </c>
    </row>
    <row r="47" spans="1:6" x14ac:dyDescent="0.3">
      <c r="A47" s="15">
        <v>45608</v>
      </c>
      <c r="B47" s="21" t="s">
        <v>28</v>
      </c>
      <c r="C47" s="22">
        <f>D47+E47</f>
        <v>771306.6</v>
      </c>
      <c r="D47" s="22">
        <v>664919.48</v>
      </c>
      <c r="E47" s="22">
        <v>106387.12</v>
      </c>
      <c r="F47" s="23">
        <f t="shared" si="1"/>
        <v>13963309.174444437</v>
      </c>
    </row>
    <row r="48" spans="1:6" x14ac:dyDescent="0.3">
      <c r="A48" s="15">
        <v>45608</v>
      </c>
      <c r="B48" s="21" t="s">
        <v>26</v>
      </c>
      <c r="C48" s="21"/>
      <c r="D48" s="22">
        <v>-2030000</v>
      </c>
      <c r="E48" s="21"/>
      <c r="F48" s="23">
        <f t="shared" si="1"/>
        <v>15993309.174444437</v>
      </c>
    </row>
    <row r="49" spans="1:6" x14ac:dyDescent="0.3">
      <c r="A49" s="15">
        <v>45618</v>
      </c>
      <c r="B49" s="21" t="s">
        <v>21</v>
      </c>
      <c r="C49" s="23">
        <f>D49+E49</f>
        <v>869676</v>
      </c>
      <c r="D49" s="24">
        <v>749721</v>
      </c>
      <c r="E49" s="24">
        <v>119955</v>
      </c>
      <c r="F49" s="23">
        <f t="shared" si="1"/>
        <v>15243588.174444437</v>
      </c>
    </row>
    <row r="50" spans="1:6" x14ac:dyDescent="0.3">
      <c r="A50" s="15">
        <v>45646</v>
      </c>
      <c r="B50" s="21" t="s">
        <v>22</v>
      </c>
      <c r="C50" s="23">
        <f>D50+E50</f>
        <v>773009.94</v>
      </c>
      <c r="D50" s="24">
        <v>666387.88</v>
      </c>
      <c r="E50" s="24">
        <v>106622.06</v>
      </c>
      <c r="F50" s="23">
        <f t="shared" si="1"/>
        <v>14577200.294444436</v>
      </c>
    </row>
    <row r="51" spans="1:6" x14ac:dyDescent="0.3">
      <c r="A51" s="15">
        <v>45680</v>
      </c>
      <c r="B51" s="21" t="s">
        <v>23</v>
      </c>
      <c r="C51" s="23">
        <f>D51+E51</f>
        <v>773009.94</v>
      </c>
      <c r="D51" s="24">
        <v>666387.88</v>
      </c>
      <c r="E51" s="24">
        <v>106622.06</v>
      </c>
      <c r="F51" s="23">
        <f t="shared" si="1"/>
        <v>13910812.414444435</v>
      </c>
    </row>
    <row r="52" spans="1:6" x14ac:dyDescent="0.3">
      <c r="A52" s="15">
        <v>45684</v>
      </c>
      <c r="B52" s="21" t="s">
        <v>26</v>
      </c>
      <c r="C52" s="21"/>
      <c r="D52" s="22">
        <v>-2080000</v>
      </c>
      <c r="E52" s="22"/>
      <c r="F52" s="23">
        <f t="shared" si="1"/>
        <v>15990812.414444435</v>
      </c>
    </row>
    <row r="53" spans="1:6" x14ac:dyDescent="0.3">
      <c r="A53" s="15">
        <v>45709</v>
      </c>
      <c r="B53" s="21" t="s">
        <v>24</v>
      </c>
      <c r="C53" s="22">
        <f>D53+E53</f>
        <v>772889.27</v>
      </c>
      <c r="D53" s="22">
        <v>666283.85</v>
      </c>
      <c r="E53" s="25">
        <v>106605.42</v>
      </c>
      <c r="F53" s="23">
        <f t="shared" si="1"/>
        <v>15324528.564444436</v>
      </c>
    </row>
    <row r="54" spans="1:6" x14ac:dyDescent="0.3">
      <c r="A54" s="15">
        <v>45737</v>
      </c>
      <c r="B54" s="21" t="s">
        <v>25</v>
      </c>
      <c r="C54" s="22">
        <f>D54+E54</f>
        <v>772889.27</v>
      </c>
      <c r="D54" s="22">
        <v>666283.85</v>
      </c>
      <c r="E54" s="22">
        <v>106605.42</v>
      </c>
      <c r="F54" s="23">
        <f t="shared" si="1"/>
        <v>14658244.714444436</v>
      </c>
    </row>
    <row r="55" spans="1:6" x14ac:dyDescent="0.3">
      <c r="A55" s="15">
        <v>45770</v>
      </c>
      <c r="B55" s="21" t="s">
        <v>13</v>
      </c>
      <c r="C55" s="22">
        <f>D55+E55</f>
        <v>772889.27</v>
      </c>
      <c r="D55" s="22">
        <v>666283.85</v>
      </c>
      <c r="E55" s="22">
        <v>106605.42</v>
      </c>
      <c r="F55" s="23">
        <f t="shared" si="1"/>
        <v>13991960.864444437</v>
      </c>
    </row>
    <row r="56" spans="1:6" x14ac:dyDescent="0.3">
      <c r="A56" s="15">
        <v>45784</v>
      </c>
      <c r="B56" s="21" t="s">
        <v>26</v>
      </c>
      <c r="C56" s="21"/>
      <c r="D56" s="22">
        <v>-2000000</v>
      </c>
      <c r="E56" s="22"/>
      <c r="F56" s="23">
        <f t="shared" si="1"/>
        <v>15991960.864444437</v>
      </c>
    </row>
    <row r="57" spans="1:6" x14ac:dyDescent="0.3">
      <c r="A57" s="15">
        <v>45800</v>
      </c>
      <c r="B57" s="21" t="s">
        <v>14</v>
      </c>
      <c r="C57" s="22">
        <f>D57+E57</f>
        <v>772944.78</v>
      </c>
      <c r="D57" s="25">
        <v>666331.71</v>
      </c>
      <c r="E57" s="25">
        <v>106613.07</v>
      </c>
      <c r="F57" s="23">
        <f t="shared" si="1"/>
        <v>15325629.154444437</v>
      </c>
    </row>
    <row r="58" spans="1:6" x14ac:dyDescent="0.3">
      <c r="A58" s="15">
        <v>45831</v>
      </c>
      <c r="B58" s="21" t="s">
        <v>15</v>
      </c>
      <c r="C58" s="22">
        <f>D58+E58</f>
        <v>772944.78</v>
      </c>
      <c r="D58" s="25">
        <v>666331.71</v>
      </c>
      <c r="E58" s="25">
        <v>106613.07</v>
      </c>
      <c r="F58" s="23">
        <f t="shared" si="1"/>
        <v>14659297.444444437</v>
      </c>
    </row>
  </sheetData>
  <mergeCells count="1">
    <mergeCell ref="D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Leku</dc:creator>
  <cp:lastModifiedBy>Dennis Leku</cp:lastModifiedBy>
  <dcterms:created xsi:type="dcterms:W3CDTF">2025-07-20T18:46:22Z</dcterms:created>
  <dcterms:modified xsi:type="dcterms:W3CDTF">2025-07-20T19:07:04Z</dcterms:modified>
</cp:coreProperties>
</file>